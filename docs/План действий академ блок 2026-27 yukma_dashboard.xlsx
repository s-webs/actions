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rofessional\Desktop\Мониторинг Академ блок Action plan\"/>
    </mc:Choice>
  </mc:AlternateContent>
  <bookViews>
    <workbookView xWindow="0" yWindow="0" windowWidth="28800" windowHeight="11835" activeTab="1"/>
  </bookViews>
  <sheets>
    <sheet name="Дашборд" sheetId="1" r:id="rId1"/>
    <sheet name="План" sheetId="2" r:id="rId2"/>
    <sheet name="Мониторинг_месяц" sheetId="3" r:id="rId3"/>
    <sheet name="Календарь_контроля" sheetId="4" r:id="rId4"/>
    <sheet name="Свод_по_ответственным" sheetId="5" r:id="rId5"/>
    <sheet name="Инструкция" sheetId="6" r:id="rId6"/>
  </sheets>
  <definedNames>
    <definedName name="_xlnm._FilterDatabase" localSheetId="2" hidden="1">Мониторинг_месяц!$A$1:$N$52</definedName>
    <definedName name="_xlnm._FilterDatabase" localSheetId="1" hidden="1">План!$A$1:$O$52</definedName>
  </definedNames>
  <calcPr calcId="152511"/>
</workbook>
</file>

<file path=xl/calcChain.xml><?xml version="1.0" encoding="utf-8"?>
<calcChain xmlns="http://schemas.openxmlformats.org/spreadsheetml/2006/main">
  <c r="E8" i="1" l="1"/>
  <c r="C8" i="1"/>
  <c r="A8" i="1"/>
  <c r="E5" i="1"/>
  <c r="C5" i="1"/>
  <c r="A5" i="1"/>
</calcChain>
</file>

<file path=xl/sharedStrings.xml><?xml version="1.0" encoding="utf-8"?>
<sst xmlns="http://schemas.openxmlformats.org/spreadsheetml/2006/main" count="1187" uniqueCount="243">
  <si>
    <t>Дашборд мониторинга реализации Action plan академического блока ЮКМА</t>
  </si>
  <si>
    <t>Всего мероприятий</t>
  </si>
  <si>
    <t>Выполнено</t>
  </si>
  <si>
    <t>В работе</t>
  </si>
  <si>
    <t>Есть риск</t>
  </si>
  <si>
    <t>Просрочено</t>
  </si>
  <si>
    <t>Высокий риск</t>
  </si>
  <si>
    <t>Что обновлять ежемесячно</t>
  </si>
  <si>
    <t>Свод по направлениям</t>
  </si>
  <si>
    <t>1) На листе «План» обновлять статус, % исполнения, дату обновления, следующий шаг, подтверждающий документ и комментарии.</t>
  </si>
  <si>
    <t>Направление</t>
  </si>
  <si>
    <t>Кол-во</t>
  </si>
  <si>
    <t>2) Обновление вносится до 25 числа каждого месяца.</t>
  </si>
  <si>
    <t>ВОП</t>
  </si>
  <si>
    <t>3) Статусы «Есть риск» и «Просрочено» выносить на рабочую группу и/или Методический совет.</t>
  </si>
  <si>
    <t>ИИ</t>
  </si>
  <si>
    <t>4) Лист «Мониторинг_месяц» использовать для короткого ежемесячного контроля по всем 51 мероприятиям.</t>
  </si>
  <si>
    <t>Академическая честность</t>
  </si>
  <si>
    <t>ОП</t>
  </si>
  <si>
    <t>OSCE</t>
  </si>
  <si>
    <t>Библиотека</t>
  </si>
  <si>
    <t>Кафедры</t>
  </si>
  <si>
    <t>Качество</t>
  </si>
  <si>
    <t>Мониторинг</t>
  </si>
  <si>
    <t>Олимпиады и конкурсы</t>
  </si>
  <si>
    <t>Оценивание</t>
  </si>
  <si>
    <t>ППС</t>
  </si>
  <si>
    <t>№</t>
  </si>
  <si>
    <t>Мероприятие</t>
  </si>
  <si>
    <t>Ответственный</t>
  </si>
  <si>
    <t>Срок</t>
  </si>
  <si>
    <t>Промежуточный контроль</t>
  </si>
  <si>
    <t>Где заслушивается</t>
  </si>
  <si>
    <t>Уровень риска</t>
  </si>
  <si>
    <t>Контрольная дата</t>
  </si>
  <si>
    <t>Статус</t>
  </si>
  <si>
    <t>%</t>
  </si>
  <si>
    <t>Последнее обновление</t>
  </si>
  <si>
    <t>Следующий шаг</t>
  </si>
  <si>
    <t>Подтверждающий документ</t>
  </si>
  <si>
    <t>Комментарии</t>
  </si>
  <si>
    <t>Управление</t>
  </si>
  <si>
    <t>Утверждение плана и запуск единого реестра исполнения</t>
  </si>
  <si>
    <t>Проректор по АР</t>
  </si>
  <si>
    <t>05.09.2026</t>
  </si>
  <si>
    <t>ежемесячно</t>
  </si>
  <si>
    <t>Рабочая группа/ректорат</t>
  </si>
  <si>
    <t>Высокий</t>
  </si>
  <si>
    <t>Не начато</t>
  </si>
  <si>
    <t>Создание рабочей группы мониторинга с цифровым и комплаенс-офицером</t>
  </si>
  <si>
    <t>Рабочая группа</t>
  </si>
  <si>
    <t>Инвентаризация ОП, РУП, силлабусов и УМК</t>
  </si>
  <si>
    <t>Руководитель УМЦ</t>
  </si>
  <si>
    <t>30.09.2026</t>
  </si>
  <si>
    <t>15.09; 25.09</t>
  </si>
  <si>
    <t>МС/рабочая группа</t>
  </si>
  <si>
    <t>Самооценка ОП и сбор доказательной базы</t>
  </si>
  <si>
    <t>Руководитель ООКиМ</t>
  </si>
  <si>
    <t>31.12.2026</t>
  </si>
  <si>
    <t>30.09; 31.10; 30.11</t>
  </si>
  <si>
    <t>МС/ректорат</t>
  </si>
  <si>
    <t>Согласование ОП с работодателями и рынком труда</t>
  </si>
  <si>
    <t>МС</t>
  </si>
  <si>
    <t>Средний</t>
  </si>
  <si>
    <t>Матрица: результаты обучения – содержание – методы – оценивание</t>
  </si>
  <si>
    <t>31.10.2026</t>
  </si>
  <si>
    <t>20.09; 15.10</t>
  </si>
  <si>
    <t>Предложения по совершенствованию учебного процесса и оценочной политики</t>
  </si>
  <si>
    <t>31.05.2027</t>
  </si>
  <si>
    <t>Трехъязычие</t>
  </si>
  <si>
    <t>Приказ по языкам обучения, группам и дисциплинам</t>
  </si>
  <si>
    <t>Деканы факультетов</t>
  </si>
  <si>
    <t>10.09; 20.09</t>
  </si>
  <si>
    <t>Мониторинг фактической реализации трехъязычного обучения</t>
  </si>
  <si>
    <t>Руководитель ОР</t>
  </si>
  <si>
    <t>30.06.2027</t>
  </si>
  <si>
    <t>30.11; 31.03; 20.06</t>
  </si>
  <si>
    <t>Рабочая группа/МС</t>
  </si>
  <si>
    <t>Независимая оценка</t>
  </si>
  <si>
    <t>Подготовка 3 курса к промежуточной независимой оценке</t>
  </si>
  <si>
    <t>Деканы мед. и междунар. факультетов</t>
  </si>
  <si>
    <t>30.09; 31.10; ежемесячно</t>
  </si>
  <si>
    <t>НЭ выпускников</t>
  </si>
  <si>
    <t>Подготовка выпускников бакалавриата к независимой экзаменации</t>
  </si>
  <si>
    <t>31.12; 31.03</t>
  </si>
  <si>
    <t>НЭ интернов</t>
  </si>
  <si>
    <t>Подготовка интернов к независимой экзаменации</t>
  </si>
  <si>
    <t>Декан интернатуры</t>
  </si>
  <si>
    <t>Совет интернатуры/МС</t>
  </si>
  <si>
    <t>Актуализация РУП, силлабусов и практик по подготовке ВОП</t>
  </si>
  <si>
    <t>15.09.2026</t>
  </si>
  <si>
    <t>05.09; 10.09</t>
  </si>
  <si>
    <t>Усиление практики интернов на базах ПМСП</t>
  </si>
  <si>
    <t>10.09; 20.09; ежемесячно</t>
  </si>
  <si>
    <t>Внедрение logbook, EPA, Mini-CEX, DOPS, OSCE, портфолио</t>
  </si>
  <si>
    <t>Руководитель ЦПН</t>
  </si>
  <si>
    <t>15.09; 30.09; 31.10; 30.11</t>
  </si>
  <si>
    <t>Обучение наставников по супервизии и оценке на рабочем месте</t>
  </si>
  <si>
    <t>Руководитель ЦКиДПО</t>
  </si>
  <si>
    <t>15.09; 30.09</t>
  </si>
  <si>
    <t>Обновление банка станций OSCE и чек-листов</t>
  </si>
  <si>
    <t>30.11.2026</t>
  </si>
  <si>
    <t>30.09; 31.10</t>
  </si>
  <si>
    <t>Внедрение Digital OSCE и электронных оценочных листов</t>
  </si>
  <si>
    <t>Обновление Академической политики и силлабусов</t>
  </si>
  <si>
    <t>Самооценка по стандарту ЛАЧ и план коррекции</t>
  </si>
  <si>
    <t>Руководитель группы ЛАЧ</t>
  </si>
  <si>
    <t>15.10.2026</t>
  </si>
  <si>
    <t>15.09; 30.09; 10.10</t>
  </si>
  <si>
    <t>Поддержка студентов</t>
  </si>
  <si>
    <t>Карта студенческих сервисов и маршрутизация обращений</t>
  </si>
  <si>
    <t>Интеграция этики и честности в содержание ОП и оценивание</t>
  </si>
  <si>
    <t>01.10.2026</t>
  </si>
  <si>
    <t>10.09; 25.09</t>
  </si>
  <si>
    <t>Порядок ответственного применения ИИ в учебном процессе</t>
  </si>
  <si>
    <t>Цифровой офицер</t>
  </si>
  <si>
    <t>05.09; 15.09</t>
  </si>
  <si>
    <t>Включение политики применения ИИ в силлабусы</t>
  </si>
  <si>
    <t>Повышение ИИ-грамотности ППС</t>
  </si>
  <si>
    <t>30.09; 31.12; 31.03</t>
  </si>
  <si>
    <t>Цифровизация</t>
  </si>
  <si>
    <t>Мониторинг LMS, цифрового контента и качества данных</t>
  </si>
  <si>
    <t>Руководитель КТИЦ</t>
  </si>
  <si>
    <t>ежемесячно; 31.12</t>
  </si>
  <si>
    <t>Годовой отчет о применении ИИ</t>
  </si>
  <si>
    <t>МС/УС</t>
  </si>
  <si>
    <t>Удовлетворенность</t>
  </si>
  <si>
    <t>Анкетирование обучающихся и корректирующие меры</t>
  </si>
  <si>
    <t>декабрь; февраль; май</t>
  </si>
  <si>
    <t>Анкетирование работодателей и выпускников</t>
  </si>
  <si>
    <t>Руководитель Центра карьеры</t>
  </si>
  <si>
    <t>31.12; 31.03; 31.05</t>
  </si>
  <si>
    <t>Траектория выпускников</t>
  </si>
  <si>
    <t>Сопровождение бакалавров при переходе на следующий уровень</t>
  </si>
  <si>
    <t>31.10; 31.12; 31.03</t>
  </si>
  <si>
    <t>Сопровождение интернов при поступлении в резидентуру</t>
  </si>
  <si>
    <t>Прием</t>
  </si>
  <si>
    <t>Профориентация, выставки, Дни открытых дверей</t>
  </si>
  <si>
    <t>Ответственный секретарь ПК</t>
  </si>
  <si>
    <t>ноябрь; март; май</t>
  </si>
  <si>
    <t>Ректорат</t>
  </si>
  <si>
    <t>Иностранные студенты</t>
  </si>
  <si>
    <t>Мониторинг доли и адаптации иностранных обучающихся</t>
  </si>
  <si>
    <t>Декан междунар. факультета</t>
  </si>
  <si>
    <t>31.12; 28.02</t>
  </si>
  <si>
    <t>Англоязычное обучение</t>
  </si>
  <si>
    <t>Мониторинг качества преподавания на английском языке</t>
  </si>
  <si>
    <t>ежеквартально</t>
  </si>
  <si>
    <t>Совместные ОП</t>
  </si>
  <si>
    <t>Академическое сопровождение совместных образовательных программ</t>
  </si>
  <si>
    <t>Руководитель отдела СОП</t>
  </si>
  <si>
    <t>Банк талантливых обучающихся и назначение наставников</t>
  </si>
  <si>
    <t>Тренировочные туры, кейсы, OSCE-тренировки</t>
  </si>
  <si>
    <t>Заведующие кафедрами</t>
  </si>
  <si>
    <t>30.04.2027</t>
  </si>
  <si>
    <t>ежемесячно; декабрь; март</t>
  </si>
  <si>
    <t>ЦУР</t>
  </si>
  <si>
    <t>Интеграция ЦУР и устойчивого развития в ОП и дисциплины</t>
  </si>
  <si>
    <t>Реализация тем здоровья, профилактики, инклюзии и партнерств</t>
  </si>
  <si>
    <t>Анализ обеспеченности ОП литературой и БД</t>
  </si>
  <si>
    <t>Руководитель БИЦ</t>
  </si>
  <si>
    <t>Обновление цифрового репозитория и электронных УМК</t>
  </si>
  <si>
    <t>План повышения педагогической квалификации ППС</t>
  </si>
  <si>
    <t>Участие ППС в конференциях по медобразованию</t>
  </si>
  <si>
    <t>31.10; 31.03</t>
  </si>
  <si>
    <t>Регулярная работа АК и КОК по анализу ОП и результатов</t>
  </si>
  <si>
    <t>Мониторинг распределения оценок, F, апелляций и рисков</t>
  </si>
  <si>
    <t>ежемесячно; после сессии</t>
  </si>
  <si>
    <t>Данные</t>
  </si>
  <si>
    <t>Своевременное внесение данных в информационные системы</t>
  </si>
  <si>
    <t>ежемесячно; 31.01</t>
  </si>
  <si>
    <t>Кафедральные мини-планы по исполнению Action plan</t>
  </si>
  <si>
    <t>10.09; ежемесячно</t>
  </si>
  <si>
    <t>Советы факультетов</t>
  </si>
  <si>
    <t>Ежемесячный анализ выполнения нагрузки, посещаемости и рисков</t>
  </si>
  <si>
    <t>Ежемесячные заседания рабочей группы по плану</t>
  </si>
  <si>
    <t>Синхронизация Action plan с повесткой Методического совета</t>
  </si>
  <si>
    <t>Секретарь МС</t>
  </si>
  <si>
    <t>за 10 и 5 дней до МС</t>
  </si>
  <si>
    <t>Методический совет</t>
  </si>
  <si>
    <t>Итоги года</t>
  </si>
  <si>
    <t>Итоговый отчет и приоритеты на 2027–2028 уч. год</t>
  </si>
  <si>
    <t>15.05; 10.06; 25.06</t>
  </si>
  <si>
    <t>Краткое мероприятие</t>
  </si>
  <si>
    <t>Сен.26</t>
  </si>
  <si>
    <t>Окт.26</t>
  </si>
  <si>
    <t>Ноя.26</t>
  </si>
  <si>
    <t>Дек.26</t>
  </si>
  <si>
    <t>Янв.27</t>
  </si>
  <si>
    <t>Фев.27</t>
  </si>
  <si>
    <t>Мар.27</t>
  </si>
  <si>
    <t>Апр.27</t>
  </si>
  <si>
    <t>Май.27</t>
  </si>
  <si>
    <t>Июн.27</t>
  </si>
  <si>
    <t>—</t>
  </si>
  <si>
    <t>Создание рабочей группы мониторинга с цифровым и комплаенс-офицер...</t>
  </si>
  <si>
    <t>Предложения по совершенствованию учебного процесса и оценочной по...</t>
  </si>
  <si>
    <t>Месяц</t>
  </si>
  <si>
    <t>Ключевые фокусы мониторинга</t>
  </si>
  <si>
    <t>Управленческое действие</t>
  </si>
  <si>
    <t>Сентябрь 2026</t>
  </si>
  <si>
    <t>Запуск плана, ОП, силлабусы, трехъязычие, ИИ, академическая честность, ЦУР</t>
  </si>
  <si>
    <t>Рабочая группа, МС, протокольные поручения</t>
  </si>
  <si>
    <t>Октябрь 2026</t>
  </si>
  <si>
    <t>Матрицы ОП, ЛАЧ, наставники, талантливые обучающиеся</t>
  </si>
  <si>
    <t>Рабочая группа, МС</t>
  </si>
  <si>
    <t>Ноябрь 2026</t>
  </si>
  <si>
    <t>Подготовка к независимой оценке, КИС/OSCE, ПМСП-практика</t>
  </si>
  <si>
    <t>МС, рабочая группа</t>
  </si>
  <si>
    <t>Декабрь 2026</t>
  </si>
  <si>
    <t>Полугодовой отчет, анкетирование, самооценка, LMS и данные</t>
  </si>
  <si>
    <t>МС, ректорат</t>
  </si>
  <si>
    <t>Январь 2027</t>
  </si>
  <si>
    <t>Итоги зимней сессии, группы риска, логбуки/EPA</t>
  </si>
  <si>
    <t>Февраль 2027</t>
  </si>
  <si>
    <t>Иностранный контингент, студенческие сервисы, оценочные риски</t>
  </si>
  <si>
    <t>Март 2027</t>
  </si>
  <si>
    <t>Интернатура/ВОП, OSCE, работодатели</t>
  </si>
  <si>
    <t>Апрель 2027</t>
  </si>
  <si>
    <t>Независимые экзамены, библиотечные ресурсы, олимпиады</t>
  </si>
  <si>
    <t>Май 2027</t>
  </si>
  <si>
    <t>Digital OSCE, практики, предложения по улучшению</t>
  </si>
  <si>
    <t>Июнь 2027</t>
  </si>
  <si>
    <t>Годовые итоги, ИИ, ЦУР, ЛАЧ, проект плана 2027–2028</t>
  </si>
  <si>
    <t>МС, УС, ректорат</t>
  </si>
  <si>
    <t>Количество мероприятий</t>
  </si>
  <si>
    <t>Как работать с дашбордом</t>
  </si>
  <si>
    <t>Назначение</t>
  </si>
  <si>
    <t>Дашборд нужен для мониторинга исполнения Action plan академического блока и подготовки вопросов на рабочую группу, Методический совет и ректорат.</t>
  </si>
  <si>
    <t>Основной лист</t>
  </si>
  <si>
    <t>На листе «План» обновляются статусы, проценты исполнения, даты и доказательная база.</t>
  </si>
  <si>
    <t>Периодичность</t>
  </si>
  <si>
    <t>Ответственные обновляют данные ежемесячно до 25 числа.</t>
  </si>
  <si>
    <t>Критические статусы</t>
  </si>
  <si>
    <t>Статусы «Есть риск» и «Просрочено» требуют отдельного управленческого решения.</t>
  </si>
  <si>
    <t>Доказательства</t>
  </si>
  <si>
    <t>Для завершенных пунктов прикладываются приказы, протоколы, отчеты, справки, силлабусы, аналитика.</t>
  </si>
  <si>
    <t>Помесячный контроль</t>
  </si>
  <si>
    <t>Лист «Мониторинг_месяц» удобен для быстрых коротких отчетов на совещании.</t>
  </si>
  <si>
    <t>05.10; 19.102</t>
  </si>
  <si>
    <t>30.10; 16.11</t>
  </si>
  <si>
    <t>14.09; 01.10; 09.11</t>
  </si>
  <si>
    <t>31.03; 31.05; 10.06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</si>
</sst>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.mm\.yyyy"/>
  </numFmts>
  <fonts count="6" x14ac:knownFonts="1">
    <font>
      <sz val="11"/>
      <color theme="1"/>
      <name val="Calibri"/>
      <family val="2"/>
      <scheme val="minor"/>
    </font>
    <font>
      <b/>
      <sz val="15"/>
      <color rgb="FFFFFFFF"/>
      <name val="Calibri"/>
    </font>
    <font>
      <b/>
      <sz val="11"/>
      <color rgb="FFFFFFFF"/>
      <name val="Calibri"/>
    </font>
    <font>
      <b/>
      <sz val="18"/>
      <name val="Calibri"/>
    </font>
    <font>
      <b/>
      <sz val="14"/>
      <color rgb="FFFFFFFF"/>
      <name val="Calibri"/>
    </font>
    <font>
      <b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C6E0B4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F4CCCC"/>
      </patternFill>
    </fill>
    <fill>
      <patternFill patternType="solid">
        <fgColor rgb="FF5B9BD5"/>
      </patternFill>
    </fill>
  </fills>
  <borders count="4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/>
    <xf numFmtId="0" fontId="0" fillId="0" borderId="1" xfId="0" applyBorder="1"/>
    <xf numFmtId="0" fontId="2" fillId="8" borderId="1" xfId="0" applyFont="1" applyFill="1" applyBorder="1"/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0" fontId="0" fillId="0" borderId="1" xfId="0" applyBorder="1" applyAlignment="1">
      <alignment horizontal="center"/>
    </xf>
    <xf numFmtId="0" fontId="5" fillId="3" borderId="1" xfId="0" applyFont="1" applyFill="1" applyBorder="1"/>
    <xf numFmtId="0" fontId="0" fillId="0" borderId="1" xfId="0" applyBorder="1"/>
    <xf numFmtId="0" fontId="0" fillId="0" borderId="2" xfId="0" applyBorder="1"/>
    <xf numFmtId="0" fontId="3" fillId="3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3" fillId="6" borderId="1" xfId="0" applyFont="1" applyFill="1" applyBorder="1" applyAlignment="1">
      <alignment horizontal="center"/>
    </xf>
    <xf numFmtId="0" fontId="2" fillId="2" borderId="1" xfId="0" applyFont="1" applyFill="1" applyBorder="1"/>
    <xf numFmtId="0" fontId="0" fillId="0" borderId="3" xfId="0" applyBorder="1"/>
    <xf numFmtId="0" fontId="3" fillId="7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0" fillId="0" borderId="1" xfId="0" applyBorder="1" applyAlignment="1">
      <alignment wrapText="1"/>
    </xf>
    <xf numFmtId="0" fontId="4" fillId="2" borderId="0" xfId="0" applyFont="1" applyFill="1" applyAlignment="1">
      <alignment horizontal="center"/>
    </xf>
    <xf numFmtId="14" fontId="0" fillId="0" borderId="1" xfId="0" applyNumberFormat="1" applyBorder="1" applyAlignment="1">
      <alignment vertical="top" wrapText="1"/>
    </xf>
  </cellXfs>
  <cellStyles count="1">
    <cellStyle name="Обычный" xfId="0" builtinId="0"/>
  </cellStyles>
  <dxfs count="6">
    <dxf>
      <fill>
        <patternFill patternType="solid">
          <fgColor rgb="FFF8CBAD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3F6F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>
      <selection sqref="A1:H2"/>
    </sheetView>
  </sheetViews>
  <sheetFormatPr defaultRowHeight="15" x14ac:dyDescent="0.25"/>
  <cols>
    <col min="1" max="1" width="20" customWidth="1"/>
    <col min="2" max="4" width="18" customWidth="1"/>
    <col min="5" max="5" width="2" customWidth="1"/>
    <col min="6" max="6" width="25" customWidth="1"/>
    <col min="7" max="8" width="12" customWidth="1"/>
  </cols>
  <sheetData>
    <row r="1" spans="1:8" x14ac:dyDescent="0.25">
      <c r="A1" s="12" t="s">
        <v>0</v>
      </c>
      <c r="B1" s="13"/>
      <c r="C1" s="13"/>
      <c r="D1" s="13"/>
      <c r="E1" s="13"/>
      <c r="F1" s="13"/>
      <c r="G1" s="13"/>
      <c r="H1" s="13"/>
    </row>
    <row r="2" spans="1:8" x14ac:dyDescent="0.25">
      <c r="A2" s="13"/>
      <c r="B2" s="13"/>
      <c r="C2" s="13"/>
      <c r="D2" s="13"/>
      <c r="E2" s="13"/>
      <c r="F2" s="13"/>
      <c r="G2" s="13"/>
      <c r="H2" s="13"/>
    </row>
    <row r="4" spans="1:8" x14ac:dyDescent="0.25">
      <c r="A4" s="18" t="s">
        <v>1</v>
      </c>
      <c r="B4" s="10"/>
      <c r="C4" s="18" t="s">
        <v>2</v>
      </c>
      <c r="D4" s="10"/>
      <c r="E4" s="18" t="s">
        <v>3</v>
      </c>
      <c r="F4" s="10"/>
    </row>
    <row r="5" spans="1:8" ht="23.25" x14ac:dyDescent="0.35">
      <c r="A5" s="11">
        <f>COUNTA(План!A2:A200)</f>
        <v>51</v>
      </c>
      <c r="B5" s="10"/>
      <c r="C5" s="19">
        <f>COUNTIF(План!J:J,"Выполнено")</f>
        <v>0</v>
      </c>
      <c r="D5" s="10"/>
      <c r="E5" s="20">
        <f>COUNTIF(План!J:J,"В работе")</f>
        <v>0</v>
      </c>
      <c r="F5" s="10"/>
    </row>
    <row r="7" spans="1:8" x14ac:dyDescent="0.25">
      <c r="A7" s="18" t="s">
        <v>4</v>
      </c>
      <c r="B7" s="10"/>
      <c r="C7" s="18" t="s">
        <v>5</v>
      </c>
      <c r="D7" s="10"/>
      <c r="E7" s="18" t="s">
        <v>6</v>
      </c>
      <c r="F7" s="10"/>
    </row>
    <row r="8" spans="1:8" ht="23.25" x14ac:dyDescent="0.35">
      <c r="A8" s="14">
        <f>COUNTIF(План!J:J,"Есть риск")</f>
        <v>0</v>
      </c>
      <c r="B8" s="10"/>
      <c r="C8" s="17">
        <f>COUNTIF(План!J:J,"Просрочено")</f>
        <v>0</v>
      </c>
      <c r="D8" s="10"/>
      <c r="E8" s="14">
        <f>COUNTIF(План!H:H,"Высокий")</f>
        <v>21</v>
      </c>
      <c r="F8" s="10"/>
    </row>
    <row r="11" spans="1:8" x14ac:dyDescent="0.25">
      <c r="A11" s="15" t="s">
        <v>7</v>
      </c>
      <c r="B11" s="16"/>
      <c r="C11" s="16"/>
      <c r="D11" s="10"/>
      <c r="F11" s="15" t="s">
        <v>8</v>
      </c>
      <c r="G11" s="16"/>
      <c r="H11" s="10"/>
    </row>
    <row r="12" spans="1:8" x14ac:dyDescent="0.25">
      <c r="A12" s="9" t="s">
        <v>9</v>
      </c>
      <c r="B12" s="16"/>
      <c r="C12" s="16"/>
      <c r="D12" s="10"/>
      <c r="F12" s="4" t="s">
        <v>10</v>
      </c>
      <c r="G12" s="4" t="s">
        <v>11</v>
      </c>
    </row>
    <row r="13" spans="1:8" x14ac:dyDescent="0.25">
      <c r="A13" s="9" t="s">
        <v>12</v>
      </c>
      <c r="B13" s="16"/>
      <c r="C13" s="16"/>
      <c r="D13" s="10"/>
      <c r="F13" s="3" t="s">
        <v>13</v>
      </c>
      <c r="G13" s="9">
        <v>4</v>
      </c>
      <c r="H13" s="10"/>
    </row>
    <row r="14" spans="1:8" x14ac:dyDescent="0.25">
      <c r="A14" s="9" t="s">
        <v>14</v>
      </c>
      <c r="B14" s="16"/>
      <c r="C14" s="16"/>
      <c r="D14" s="10"/>
      <c r="F14" s="3" t="s">
        <v>15</v>
      </c>
      <c r="G14" s="9">
        <v>4</v>
      </c>
      <c r="H14" s="10"/>
    </row>
    <row r="15" spans="1:8" x14ac:dyDescent="0.25">
      <c r="A15" s="9" t="s">
        <v>16</v>
      </c>
      <c r="B15" s="16"/>
      <c r="C15" s="16"/>
      <c r="D15" s="10"/>
      <c r="F15" s="3" t="s">
        <v>17</v>
      </c>
      <c r="G15" s="9">
        <v>3</v>
      </c>
      <c r="H15" s="10"/>
    </row>
    <row r="16" spans="1:8" x14ac:dyDescent="0.25">
      <c r="F16" s="3" t="s">
        <v>18</v>
      </c>
      <c r="G16" s="9">
        <v>3</v>
      </c>
      <c r="H16" s="10"/>
    </row>
    <row r="17" spans="6:8" x14ac:dyDescent="0.25">
      <c r="F17" s="3" t="s">
        <v>19</v>
      </c>
      <c r="G17" s="9">
        <v>2</v>
      </c>
      <c r="H17" s="10"/>
    </row>
    <row r="18" spans="6:8" x14ac:dyDescent="0.25">
      <c r="F18" s="3" t="s">
        <v>20</v>
      </c>
      <c r="G18" s="9">
        <v>2</v>
      </c>
      <c r="H18" s="10"/>
    </row>
    <row r="19" spans="6:8" x14ac:dyDescent="0.25">
      <c r="F19" s="3" t="s">
        <v>21</v>
      </c>
      <c r="G19" s="9">
        <v>2</v>
      </c>
      <c r="H19" s="10"/>
    </row>
    <row r="20" spans="6:8" x14ac:dyDescent="0.25">
      <c r="F20" s="3" t="s">
        <v>22</v>
      </c>
      <c r="G20" s="9">
        <v>2</v>
      </c>
      <c r="H20" s="10"/>
    </row>
    <row r="21" spans="6:8" x14ac:dyDescent="0.25">
      <c r="F21" s="3" t="s">
        <v>23</v>
      </c>
      <c r="G21" s="9">
        <v>2</v>
      </c>
      <c r="H21" s="10"/>
    </row>
    <row r="22" spans="6:8" x14ac:dyDescent="0.25">
      <c r="F22" s="3" t="s">
        <v>24</v>
      </c>
      <c r="G22" s="9">
        <v>2</v>
      </c>
      <c r="H22" s="10"/>
    </row>
    <row r="23" spans="6:8" x14ac:dyDescent="0.25">
      <c r="F23" s="3" t="s">
        <v>25</v>
      </c>
      <c r="G23" s="9">
        <v>2</v>
      </c>
      <c r="H23" s="10"/>
    </row>
    <row r="24" spans="6:8" x14ac:dyDescent="0.25">
      <c r="F24" s="3" t="s">
        <v>26</v>
      </c>
      <c r="G24" s="9">
        <v>2</v>
      </c>
      <c r="H24" s="10"/>
    </row>
  </sheetData>
  <mergeCells count="31">
    <mergeCell ref="G21:H21"/>
    <mergeCell ref="C5:D5"/>
    <mergeCell ref="E5:F5"/>
    <mergeCell ref="G23:H23"/>
    <mergeCell ref="E8:F8"/>
    <mergeCell ref="A13:D13"/>
    <mergeCell ref="G17:H17"/>
    <mergeCell ref="C4:D4"/>
    <mergeCell ref="E4:F4"/>
    <mergeCell ref="A7:B7"/>
    <mergeCell ref="G19:H19"/>
    <mergeCell ref="A15:D15"/>
    <mergeCell ref="A11:D11"/>
    <mergeCell ref="G13:H13"/>
    <mergeCell ref="G18:H18"/>
    <mergeCell ref="G24:H24"/>
    <mergeCell ref="G15:H15"/>
    <mergeCell ref="A5:B5"/>
    <mergeCell ref="G14:H14"/>
    <mergeCell ref="A1:H2"/>
    <mergeCell ref="A8:B8"/>
    <mergeCell ref="F11:H11"/>
    <mergeCell ref="C8:D8"/>
    <mergeCell ref="A4:B4"/>
    <mergeCell ref="G20:H20"/>
    <mergeCell ref="C7:D7"/>
    <mergeCell ref="E7:F7"/>
    <mergeCell ref="A12:D12"/>
    <mergeCell ref="G16:H16"/>
    <mergeCell ref="G22:H22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2"/>
  <sheetViews>
    <sheetView tabSelected="1" workbookViewId="0">
      <pane ySplit="1" topLeftCell="A41" activePane="bottomLeft" state="frozen"/>
      <selection pane="bottomLeft" activeCell="I28" sqref="I28"/>
    </sheetView>
  </sheetViews>
  <sheetFormatPr defaultRowHeight="15" x14ac:dyDescent="0.25"/>
  <cols>
    <col min="1" max="1" width="5" customWidth="1"/>
    <col min="2" max="2" width="20" customWidth="1"/>
    <col min="3" max="3" width="50" customWidth="1"/>
    <col min="4" max="4" width="28" customWidth="1"/>
    <col min="5" max="5" width="14" customWidth="1"/>
    <col min="6" max="6" width="28" customWidth="1"/>
    <col min="7" max="7" width="22" customWidth="1"/>
    <col min="8" max="8" width="12" customWidth="1"/>
    <col min="9" max="10" width="14" customWidth="1"/>
    <col min="11" max="11" width="8" customWidth="1"/>
    <col min="12" max="12" width="16" customWidth="1"/>
    <col min="13" max="13" width="24" customWidth="1"/>
    <col min="14" max="14" width="28" customWidth="1"/>
    <col min="15" max="15" width="22" customWidth="1"/>
  </cols>
  <sheetData>
    <row r="1" spans="1:15" ht="30" x14ac:dyDescent="0.25">
      <c r="A1" s="1" t="s">
        <v>27</v>
      </c>
      <c r="B1" s="1" t="s">
        <v>10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</row>
    <row r="2" spans="1:15" ht="30" x14ac:dyDescent="0.25">
      <c r="A2" s="5">
        <v>1</v>
      </c>
      <c r="B2" s="5" t="s">
        <v>41</v>
      </c>
      <c r="C2" s="5" t="s">
        <v>42</v>
      </c>
      <c r="D2" s="5" t="s">
        <v>43</v>
      </c>
      <c r="E2" s="5" t="s">
        <v>44</v>
      </c>
      <c r="F2" s="5" t="s">
        <v>45</v>
      </c>
      <c r="G2" s="5" t="s">
        <v>46</v>
      </c>
      <c r="H2" s="5" t="s">
        <v>47</v>
      </c>
      <c r="I2" s="6">
        <v>46270</v>
      </c>
      <c r="J2" s="5" t="s">
        <v>48</v>
      </c>
      <c r="K2" s="5">
        <v>0</v>
      </c>
      <c r="L2" s="5"/>
      <c r="M2" s="5"/>
      <c r="N2" s="5"/>
      <c r="O2" s="5"/>
    </row>
    <row r="3" spans="1:15" ht="30" x14ac:dyDescent="0.25">
      <c r="A3" s="5">
        <v>2</v>
      </c>
      <c r="B3" s="5" t="s">
        <v>41</v>
      </c>
      <c r="C3" s="5" t="s">
        <v>49</v>
      </c>
      <c r="D3" s="5" t="s">
        <v>43</v>
      </c>
      <c r="E3" s="5" t="s">
        <v>44</v>
      </c>
      <c r="F3" s="5" t="s">
        <v>45</v>
      </c>
      <c r="G3" s="5" t="s">
        <v>50</v>
      </c>
      <c r="H3" s="5" t="s">
        <v>47</v>
      </c>
      <c r="I3" s="6">
        <v>46270</v>
      </c>
      <c r="J3" s="5" t="s">
        <v>48</v>
      </c>
      <c r="K3" s="5">
        <v>0</v>
      </c>
      <c r="L3" s="5"/>
      <c r="M3" s="5"/>
      <c r="N3" s="5"/>
      <c r="O3" s="5"/>
    </row>
    <row r="4" spans="1:15" x14ac:dyDescent="0.25">
      <c r="A4" s="5">
        <v>3</v>
      </c>
      <c r="B4" s="5" t="s">
        <v>18</v>
      </c>
      <c r="C4" s="5" t="s">
        <v>51</v>
      </c>
      <c r="D4" s="5" t="s">
        <v>52</v>
      </c>
      <c r="E4" s="5" t="s">
        <v>53</v>
      </c>
      <c r="F4" s="5" t="s">
        <v>54</v>
      </c>
      <c r="G4" s="5" t="s">
        <v>55</v>
      </c>
      <c r="H4" s="5" t="s">
        <v>47</v>
      </c>
      <c r="I4" s="6">
        <v>46295</v>
      </c>
      <c r="J4" s="5" t="s">
        <v>48</v>
      </c>
      <c r="K4" s="5">
        <v>0</v>
      </c>
      <c r="L4" s="5"/>
      <c r="M4" s="5"/>
      <c r="N4" s="5"/>
      <c r="O4" s="5"/>
    </row>
    <row r="5" spans="1:15" x14ac:dyDescent="0.25">
      <c r="A5" s="5">
        <v>4</v>
      </c>
      <c r="B5" s="5" t="s">
        <v>18</v>
      </c>
      <c r="C5" s="5" t="s">
        <v>56</v>
      </c>
      <c r="D5" s="5" t="s">
        <v>57</v>
      </c>
      <c r="E5" s="5" t="s">
        <v>58</v>
      </c>
      <c r="F5" s="5" t="s">
        <v>59</v>
      </c>
      <c r="G5" s="5" t="s">
        <v>60</v>
      </c>
      <c r="H5" s="5" t="s">
        <v>47</v>
      </c>
      <c r="I5" s="6">
        <v>46387</v>
      </c>
      <c r="J5" s="5" t="s">
        <v>48</v>
      </c>
      <c r="K5" s="5">
        <v>0</v>
      </c>
      <c r="L5" s="5"/>
      <c r="M5" s="5"/>
      <c r="N5" s="5"/>
      <c r="O5" s="5"/>
    </row>
    <row r="6" spans="1:15" x14ac:dyDescent="0.25">
      <c r="A6" s="5">
        <v>5</v>
      </c>
      <c r="B6" s="5" t="s">
        <v>18</v>
      </c>
      <c r="C6" s="5" t="s">
        <v>61</v>
      </c>
      <c r="D6" s="5" t="s">
        <v>52</v>
      </c>
      <c r="E6" s="23">
        <v>46328</v>
      </c>
      <c r="F6" s="5" t="s">
        <v>239</v>
      </c>
      <c r="G6" s="5" t="s">
        <v>62</v>
      </c>
      <c r="H6" s="5" t="s">
        <v>63</v>
      </c>
      <c r="I6" s="6">
        <v>46328</v>
      </c>
      <c r="J6" s="5" t="s">
        <v>48</v>
      </c>
      <c r="K6" s="5">
        <v>0</v>
      </c>
      <c r="L6" s="5"/>
      <c r="M6" s="5"/>
      <c r="N6" s="5"/>
      <c r="O6" s="5"/>
    </row>
    <row r="7" spans="1:15" ht="30" x14ac:dyDescent="0.25">
      <c r="A7" s="5">
        <v>6</v>
      </c>
      <c r="B7" s="5" t="s">
        <v>25</v>
      </c>
      <c r="C7" s="5" t="s">
        <v>64</v>
      </c>
      <c r="D7" s="5" t="s">
        <v>52</v>
      </c>
      <c r="E7" s="5" t="s">
        <v>65</v>
      </c>
      <c r="F7" s="5" t="s">
        <v>66</v>
      </c>
      <c r="G7" s="5" t="s">
        <v>62</v>
      </c>
      <c r="H7" s="5" t="s">
        <v>47</v>
      </c>
      <c r="I7" s="6">
        <v>46326</v>
      </c>
      <c r="J7" s="5" t="s">
        <v>48</v>
      </c>
      <c r="K7" s="5">
        <v>0</v>
      </c>
      <c r="L7" s="5"/>
      <c r="M7" s="5"/>
      <c r="N7" s="5"/>
      <c r="O7" s="5"/>
    </row>
    <row r="8" spans="1:15" ht="30" x14ac:dyDescent="0.25">
      <c r="A8" s="5">
        <v>7</v>
      </c>
      <c r="B8" s="5" t="s">
        <v>25</v>
      </c>
      <c r="C8" s="5" t="s">
        <v>67</v>
      </c>
      <c r="D8" s="5" t="s">
        <v>52</v>
      </c>
      <c r="E8" s="23">
        <v>46356</v>
      </c>
      <c r="F8" s="5" t="s">
        <v>240</v>
      </c>
      <c r="G8" s="5" t="s">
        <v>62</v>
      </c>
      <c r="H8" s="5" t="s">
        <v>63</v>
      </c>
      <c r="I8" s="6">
        <v>46356</v>
      </c>
      <c r="J8" s="5" t="s">
        <v>48</v>
      </c>
      <c r="K8" s="5">
        <v>0</v>
      </c>
      <c r="L8" s="5"/>
      <c r="M8" s="5"/>
      <c r="N8" s="5"/>
      <c r="O8" s="5"/>
    </row>
    <row r="9" spans="1:15" ht="30" x14ac:dyDescent="0.25">
      <c r="A9" s="5">
        <v>8</v>
      </c>
      <c r="B9" s="5" t="s">
        <v>69</v>
      </c>
      <c r="C9" s="5" t="s">
        <v>70</v>
      </c>
      <c r="D9" s="5" t="s">
        <v>71</v>
      </c>
      <c r="E9" s="5" t="s">
        <v>53</v>
      </c>
      <c r="F9" s="5" t="s">
        <v>72</v>
      </c>
      <c r="G9" s="5" t="s">
        <v>62</v>
      </c>
      <c r="H9" s="5" t="s">
        <v>63</v>
      </c>
      <c r="I9" s="6">
        <v>46295</v>
      </c>
      <c r="J9" s="5" t="s">
        <v>48</v>
      </c>
      <c r="K9" s="5">
        <v>0</v>
      </c>
      <c r="L9" s="5"/>
      <c r="M9" s="5"/>
      <c r="N9" s="5"/>
      <c r="O9" s="5"/>
    </row>
    <row r="10" spans="1:15" ht="30" x14ac:dyDescent="0.25">
      <c r="A10" s="5">
        <v>9</v>
      </c>
      <c r="B10" s="5" t="s">
        <v>69</v>
      </c>
      <c r="C10" s="5" t="s">
        <v>73</v>
      </c>
      <c r="D10" s="5" t="s">
        <v>74</v>
      </c>
      <c r="E10" s="5" t="s">
        <v>75</v>
      </c>
      <c r="F10" s="5" t="s">
        <v>76</v>
      </c>
      <c r="G10" s="5" t="s">
        <v>77</v>
      </c>
      <c r="H10" s="5" t="s">
        <v>63</v>
      </c>
      <c r="I10" s="6">
        <v>46568</v>
      </c>
      <c r="J10" s="5" t="s">
        <v>48</v>
      </c>
      <c r="K10" s="5">
        <v>0</v>
      </c>
      <c r="L10" s="5"/>
      <c r="M10" s="5"/>
      <c r="N10" s="5"/>
      <c r="O10" s="5"/>
    </row>
    <row r="11" spans="1:15" ht="30" x14ac:dyDescent="0.25">
      <c r="A11" s="5">
        <v>10</v>
      </c>
      <c r="B11" s="5" t="s">
        <v>78</v>
      </c>
      <c r="C11" s="5" t="s">
        <v>79</v>
      </c>
      <c r="D11" s="5" t="s">
        <v>80</v>
      </c>
      <c r="E11" s="5" t="s">
        <v>68</v>
      </c>
      <c r="F11" s="5" t="s">
        <v>81</v>
      </c>
      <c r="G11" s="5" t="s">
        <v>62</v>
      </c>
      <c r="H11" s="5" t="s">
        <v>47</v>
      </c>
      <c r="I11" s="6">
        <v>46538</v>
      </c>
      <c r="J11" s="5" t="s">
        <v>48</v>
      </c>
      <c r="K11" s="5">
        <v>0</v>
      </c>
      <c r="L11" s="5"/>
      <c r="M11" s="5"/>
      <c r="N11" s="5"/>
      <c r="O11" s="5"/>
    </row>
    <row r="12" spans="1:15" ht="30" x14ac:dyDescent="0.25">
      <c r="A12" s="5">
        <v>11</v>
      </c>
      <c r="B12" s="5" t="s">
        <v>82</v>
      </c>
      <c r="C12" s="5" t="s">
        <v>83</v>
      </c>
      <c r="D12" s="5" t="s">
        <v>71</v>
      </c>
      <c r="E12" s="23">
        <v>46538</v>
      </c>
      <c r="F12" s="5" t="s">
        <v>81</v>
      </c>
      <c r="G12" s="5" t="s">
        <v>62</v>
      </c>
      <c r="H12" s="5" t="s">
        <v>47</v>
      </c>
      <c r="I12" s="6">
        <v>46538</v>
      </c>
      <c r="J12" s="5" t="s">
        <v>48</v>
      </c>
      <c r="K12" s="5">
        <v>0</v>
      </c>
      <c r="L12" s="5"/>
      <c r="M12" s="5"/>
      <c r="N12" s="5"/>
      <c r="O12" s="5"/>
    </row>
    <row r="13" spans="1:15" ht="30" x14ac:dyDescent="0.25">
      <c r="A13" s="5">
        <v>12</v>
      </c>
      <c r="B13" s="5" t="s">
        <v>85</v>
      </c>
      <c r="C13" s="5" t="s">
        <v>86</v>
      </c>
      <c r="D13" s="5" t="s">
        <v>87</v>
      </c>
      <c r="E13" s="23">
        <v>46173</v>
      </c>
      <c r="F13" s="5" t="s">
        <v>81</v>
      </c>
      <c r="G13" s="5" t="s">
        <v>88</v>
      </c>
      <c r="H13" s="5" t="s">
        <v>47</v>
      </c>
      <c r="I13" s="6">
        <v>46538</v>
      </c>
      <c r="J13" s="5" t="s">
        <v>48</v>
      </c>
      <c r="K13" s="5">
        <v>0</v>
      </c>
      <c r="L13" s="5"/>
      <c r="M13" s="5"/>
      <c r="N13" s="5"/>
      <c r="O13" s="5"/>
    </row>
    <row r="14" spans="1:15" ht="30" x14ac:dyDescent="0.25">
      <c r="A14" s="5">
        <v>13</v>
      </c>
      <c r="B14" s="5" t="s">
        <v>13</v>
      </c>
      <c r="C14" s="5" t="s">
        <v>89</v>
      </c>
      <c r="D14" s="5" t="s">
        <v>87</v>
      </c>
      <c r="E14" s="5" t="s">
        <v>90</v>
      </c>
      <c r="F14" s="5" t="s">
        <v>91</v>
      </c>
      <c r="G14" s="5" t="s">
        <v>50</v>
      </c>
      <c r="H14" s="5" t="s">
        <v>47</v>
      </c>
      <c r="I14" s="6">
        <v>46280</v>
      </c>
      <c r="J14" s="5" t="s">
        <v>48</v>
      </c>
      <c r="K14" s="5">
        <v>0</v>
      </c>
      <c r="L14" s="5"/>
      <c r="M14" s="5"/>
      <c r="N14" s="5"/>
      <c r="O14" s="5"/>
    </row>
    <row r="15" spans="1:15" x14ac:dyDescent="0.25">
      <c r="A15" s="5">
        <v>14</v>
      </c>
      <c r="B15" s="5" t="s">
        <v>13</v>
      </c>
      <c r="C15" s="5" t="s">
        <v>92</v>
      </c>
      <c r="D15" s="5" t="s">
        <v>87</v>
      </c>
      <c r="E15" s="5" t="s">
        <v>53</v>
      </c>
      <c r="F15" s="5" t="s">
        <v>93</v>
      </c>
      <c r="G15" s="5" t="s">
        <v>50</v>
      </c>
      <c r="H15" s="5" t="s">
        <v>47</v>
      </c>
      <c r="I15" s="6">
        <v>46295</v>
      </c>
      <c r="J15" s="5" t="s">
        <v>48</v>
      </c>
      <c r="K15" s="5">
        <v>0</v>
      </c>
      <c r="L15" s="5"/>
      <c r="M15" s="5"/>
      <c r="N15" s="5"/>
      <c r="O15" s="5"/>
    </row>
    <row r="16" spans="1:15" ht="30" x14ac:dyDescent="0.25">
      <c r="A16" s="5">
        <v>15</v>
      </c>
      <c r="B16" s="5" t="s">
        <v>13</v>
      </c>
      <c r="C16" s="5" t="s">
        <v>94</v>
      </c>
      <c r="D16" s="5" t="s">
        <v>95</v>
      </c>
      <c r="E16" s="5" t="s">
        <v>58</v>
      </c>
      <c r="F16" s="5" t="s">
        <v>96</v>
      </c>
      <c r="G16" s="5" t="s">
        <v>62</v>
      </c>
      <c r="H16" s="5" t="s">
        <v>47</v>
      </c>
      <c r="I16" s="6">
        <v>46387</v>
      </c>
      <c r="J16" s="5" t="s">
        <v>48</v>
      </c>
      <c r="K16" s="5">
        <v>0</v>
      </c>
      <c r="L16" s="5"/>
      <c r="M16" s="5"/>
      <c r="N16" s="5"/>
      <c r="O16" s="5"/>
    </row>
    <row r="17" spans="1:15" ht="30" x14ac:dyDescent="0.25">
      <c r="A17" s="5">
        <v>16</v>
      </c>
      <c r="B17" s="5" t="s">
        <v>13</v>
      </c>
      <c r="C17" s="5" t="s">
        <v>97</v>
      </c>
      <c r="D17" s="5" t="s">
        <v>98</v>
      </c>
      <c r="E17" s="5" t="s">
        <v>65</v>
      </c>
      <c r="F17" s="5" t="s">
        <v>99</v>
      </c>
      <c r="G17" s="5" t="s">
        <v>77</v>
      </c>
      <c r="H17" s="5" t="s">
        <v>63</v>
      </c>
      <c r="I17" s="6">
        <v>46326</v>
      </c>
      <c r="J17" s="5" t="s">
        <v>48</v>
      </c>
      <c r="K17" s="5">
        <v>0</v>
      </c>
      <c r="L17" s="5"/>
      <c r="M17" s="5"/>
      <c r="N17" s="5"/>
      <c r="O17" s="5"/>
    </row>
    <row r="18" spans="1:15" x14ac:dyDescent="0.25">
      <c r="A18" s="5">
        <v>17</v>
      </c>
      <c r="B18" s="5" t="s">
        <v>19</v>
      </c>
      <c r="C18" s="5" t="s">
        <v>100</v>
      </c>
      <c r="D18" s="5" t="s">
        <v>95</v>
      </c>
      <c r="E18" s="5" t="s">
        <v>101</v>
      </c>
      <c r="F18" s="5" t="s">
        <v>102</v>
      </c>
      <c r="G18" s="5" t="s">
        <v>62</v>
      </c>
      <c r="H18" s="5" t="s">
        <v>63</v>
      </c>
      <c r="I18" s="6">
        <v>46356</v>
      </c>
      <c r="J18" s="5" t="s">
        <v>48</v>
      </c>
      <c r="K18" s="5">
        <v>0</v>
      </c>
      <c r="L18" s="5"/>
      <c r="M18" s="5"/>
      <c r="N18" s="5"/>
      <c r="O18" s="5"/>
    </row>
    <row r="19" spans="1:15" ht="30" x14ac:dyDescent="0.25">
      <c r="A19" s="5">
        <v>18</v>
      </c>
      <c r="B19" s="5" t="s">
        <v>19</v>
      </c>
      <c r="C19" s="5" t="s">
        <v>103</v>
      </c>
      <c r="D19" s="5" t="s">
        <v>95</v>
      </c>
      <c r="E19" s="23">
        <v>46335</v>
      </c>
      <c r="F19" s="5" t="s">
        <v>241</v>
      </c>
      <c r="G19" s="5" t="s">
        <v>62</v>
      </c>
      <c r="H19" s="5" t="s">
        <v>47</v>
      </c>
      <c r="I19" s="6">
        <v>46335</v>
      </c>
      <c r="J19" s="5" t="s">
        <v>48</v>
      </c>
      <c r="K19" s="5">
        <v>0</v>
      </c>
      <c r="L19" s="5"/>
      <c r="M19" s="5"/>
      <c r="N19" s="5"/>
      <c r="O19" s="5"/>
    </row>
    <row r="20" spans="1:15" ht="30" x14ac:dyDescent="0.25">
      <c r="A20" s="5">
        <v>19</v>
      </c>
      <c r="B20" s="5" t="s">
        <v>17</v>
      </c>
      <c r="C20" s="5" t="s">
        <v>104</v>
      </c>
      <c r="D20" s="5" t="s">
        <v>52</v>
      </c>
      <c r="E20" s="5" t="s">
        <v>90</v>
      </c>
      <c r="F20" s="5" t="s">
        <v>91</v>
      </c>
      <c r="G20" s="5" t="s">
        <v>62</v>
      </c>
      <c r="H20" s="5" t="s">
        <v>47</v>
      </c>
      <c r="I20" s="6">
        <v>46280</v>
      </c>
      <c r="J20" s="5" t="s">
        <v>48</v>
      </c>
      <c r="K20" s="5">
        <v>0</v>
      </c>
      <c r="L20" s="5"/>
      <c r="M20" s="5"/>
      <c r="N20" s="5"/>
      <c r="O20" s="5"/>
    </row>
    <row r="21" spans="1:15" ht="30" x14ac:dyDescent="0.25">
      <c r="A21" s="5">
        <v>20</v>
      </c>
      <c r="B21" s="5" t="s">
        <v>17</v>
      </c>
      <c r="C21" s="5" t="s">
        <v>105</v>
      </c>
      <c r="D21" s="5" t="s">
        <v>106</v>
      </c>
      <c r="E21" s="5" t="s">
        <v>107</v>
      </c>
      <c r="F21" s="5" t="s">
        <v>108</v>
      </c>
      <c r="G21" s="5" t="s">
        <v>77</v>
      </c>
      <c r="H21" s="5" t="s">
        <v>47</v>
      </c>
      <c r="I21" s="6">
        <v>46310</v>
      </c>
      <c r="J21" s="5" t="s">
        <v>48</v>
      </c>
      <c r="K21" s="5">
        <v>0</v>
      </c>
      <c r="L21" s="5"/>
      <c r="M21" s="5"/>
      <c r="N21" s="5"/>
      <c r="O21" s="5"/>
    </row>
    <row r="22" spans="1:15" ht="30" x14ac:dyDescent="0.25">
      <c r="A22" s="5">
        <v>21</v>
      </c>
      <c r="B22" s="5" t="s">
        <v>109</v>
      </c>
      <c r="C22" s="5" t="s">
        <v>110</v>
      </c>
      <c r="D22" s="5" t="s">
        <v>52</v>
      </c>
      <c r="E22" s="5" t="s">
        <v>90</v>
      </c>
      <c r="F22" s="5" t="s">
        <v>91</v>
      </c>
      <c r="G22" s="5" t="s">
        <v>62</v>
      </c>
      <c r="H22" s="5" t="s">
        <v>63</v>
      </c>
      <c r="I22" s="6">
        <v>46280</v>
      </c>
      <c r="J22" s="5" t="s">
        <v>48</v>
      </c>
      <c r="K22" s="5">
        <v>0</v>
      </c>
      <c r="L22" s="5"/>
      <c r="M22" s="5"/>
      <c r="N22" s="5"/>
      <c r="O22" s="5"/>
    </row>
    <row r="23" spans="1:15" ht="30" x14ac:dyDescent="0.25">
      <c r="A23" s="5">
        <v>22</v>
      </c>
      <c r="B23" s="5" t="s">
        <v>17</v>
      </c>
      <c r="C23" s="5" t="s">
        <v>111</v>
      </c>
      <c r="D23" s="5" t="s">
        <v>52</v>
      </c>
      <c r="E23" s="5" t="s">
        <v>112</v>
      </c>
      <c r="F23" s="5" t="s">
        <v>113</v>
      </c>
      <c r="G23" s="5" t="s">
        <v>62</v>
      </c>
      <c r="H23" s="5" t="s">
        <v>63</v>
      </c>
      <c r="I23" s="6">
        <v>46296</v>
      </c>
      <c r="J23" s="5" t="s">
        <v>48</v>
      </c>
      <c r="K23" s="5">
        <v>0</v>
      </c>
      <c r="L23" s="5"/>
      <c r="M23" s="5"/>
      <c r="N23" s="5"/>
      <c r="O23" s="5"/>
    </row>
    <row r="24" spans="1:15" ht="30" x14ac:dyDescent="0.25">
      <c r="A24" s="5">
        <v>23</v>
      </c>
      <c r="B24" s="5" t="s">
        <v>15</v>
      </c>
      <c r="C24" s="5" t="s">
        <v>114</v>
      </c>
      <c r="D24" s="5" t="s">
        <v>115</v>
      </c>
      <c r="E24" s="5" t="s">
        <v>53</v>
      </c>
      <c r="F24" s="5" t="s">
        <v>116</v>
      </c>
      <c r="G24" s="5" t="s">
        <v>62</v>
      </c>
      <c r="H24" s="5" t="s">
        <v>47</v>
      </c>
      <c r="I24" s="6">
        <v>46295</v>
      </c>
      <c r="J24" s="5" t="s">
        <v>48</v>
      </c>
      <c r="K24" s="5">
        <v>0</v>
      </c>
      <c r="L24" s="5"/>
      <c r="M24" s="5"/>
      <c r="N24" s="5"/>
      <c r="O24" s="5"/>
    </row>
    <row r="25" spans="1:15" x14ac:dyDescent="0.25">
      <c r="A25" s="5">
        <v>24</v>
      </c>
      <c r="B25" s="5" t="s">
        <v>15</v>
      </c>
      <c r="C25" s="5" t="s">
        <v>117</v>
      </c>
      <c r="D25" s="5" t="s">
        <v>52</v>
      </c>
      <c r="E25" s="5" t="s">
        <v>53</v>
      </c>
      <c r="F25" s="5" t="s">
        <v>72</v>
      </c>
      <c r="G25" s="5" t="s">
        <v>62</v>
      </c>
      <c r="H25" s="5" t="s">
        <v>47</v>
      </c>
      <c r="I25" s="6">
        <v>46295</v>
      </c>
      <c r="J25" s="5" t="s">
        <v>48</v>
      </c>
      <c r="K25" s="5">
        <v>0</v>
      </c>
      <c r="L25" s="5"/>
      <c r="M25" s="5"/>
      <c r="N25" s="5"/>
      <c r="O25" s="5"/>
    </row>
    <row r="26" spans="1:15" x14ac:dyDescent="0.25">
      <c r="A26" s="5">
        <v>25</v>
      </c>
      <c r="B26" s="5" t="s">
        <v>15</v>
      </c>
      <c r="C26" s="5" t="s">
        <v>118</v>
      </c>
      <c r="D26" s="5" t="s">
        <v>98</v>
      </c>
      <c r="E26" s="5" t="s">
        <v>68</v>
      </c>
      <c r="F26" s="5" t="s">
        <v>119</v>
      </c>
      <c r="G26" s="5" t="s">
        <v>62</v>
      </c>
      <c r="H26" s="5" t="s">
        <v>63</v>
      </c>
      <c r="I26" s="6">
        <v>46538</v>
      </c>
      <c r="J26" s="5" t="s">
        <v>48</v>
      </c>
      <c r="K26" s="5">
        <v>0</v>
      </c>
      <c r="L26" s="5"/>
      <c r="M26" s="5"/>
      <c r="N26" s="5"/>
      <c r="O26" s="5"/>
    </row>
    <row r="27" spans="1:15" ht="30" x14ac:dyDescent="0.25">
      <c r="A27" s="5">
        <v>26</v>
      </c>
      <c r="B27" s="5" t="s">
        <v>120</v>
      </c>
      <c r="C27" s="5" t="s">
        <v>121</v>
      </c>
      <c r="D27" s="5" t="s">
        <v>122</v>
      </c>
      <c r="E27" s="23">
        <v>46537</v>
      </c>
      <c r="F27" s="5" t="s">
        <v>123</v>
      </c>
      <c r="G27" s="5" t="s">
        <v>62</v>
      </c>
      <c r="H27" s="5" t="s">
        <v>47</v>
      </c>
      <c r="I27" s="6">
        <v>46537</v>
      </c>
      <c r="J27" s="5" t="s">
        <v>48</v>
      </c>
      <c r="K27" s="5">
        <v>0</v>
      </c>
      <c r="L27" s="5"/>
      <c r="M27" s="5"/>
      <c r="N27" s="5"/>
      <c r="O27" s="5"/>
    </row>
    <row r="28" spans="1:15" x14ac:dyDescent="0.25">
      <c r="A28" s="5">
        <v>27</v>
      </c>
      <c r="B28" s="5" t="s">
        <v>15</v>
      </c>
      <c r="C28" s="5" t="s">
        <v>124</v>
      </c>
      <c r="D28" s="5" t="s">
        <v>115</v>
      </c>
      <c r="E28" s="23">
        <v>46553</v>
      </c>
      <c r="F28" s="5" t="s">
        <v>242</v>
      </c>
      <c r="G28" s="5" t="s">
        <v>125</v>
      </c>
      <c r="H28" s="5" t="s">
        <v>63</v>
      </c>
      <c r="I28" s="6">
        <v>46553</v>
      </c>
      <c r="J28" s="5" t="s">
        <v>48</v>
      </c>
      <c r="K28" s="5">
        <v>0</v>
      </c>
      <c r="L28" s="5"/>
      <c r="M28" s="5"/>
      <c r="N28" s="5"/>
      <c r="O28" s="5"/>
    </row>
    <row r="29" spans="1:15" ht="30" x14ac:dyDescent="0.25">
      <c r="A29" s="5">
        <v>28</v>
      </c>
      <c r="B29" s="5" t="s">
        <v>126</v>
      </c>
      <c r="C29" s="5" t="s">
        <v>127</v>
      </c>
      <c r="D29" s="5" t="s">
        <v>57</v>
      </c>
      <c r="E29" s="5" t="s">
        <v>75</v>
      </c>
      <c r="F29" s="5" t="s">
        <v>128</v>
      </c>
      <c r="G29" s="5" t="s">
        <v>62</v>
      </c>
      <c r="H29" s="5" t="s">
        <v>63</v>
      </c>
      <c r="I29" s="6">
        <v>46568</v>
      </c>
      <c r="J29" s="5" t="s">
        <v>48</v>
      </c>
      <c r="K29" s="5">
        <v>0</v>
      </c>
      <c r="L29" s="5"/>
      <c r="M29" s="5"/>
      <c r="N29" s="5"/>
      <c r="O29" s="5"/>
    </row>
    <row r="30" spans="1:15" ht="30" x14ac:dyDescent="0.25">
      <c r="A30" s="5">
        <v>29</v>
      </c>
      <c r="B30" s="5" t="s">
        <v>126</v>
      </c>
      <c r="C30" s="5" t="s">
        <v>129</v>
      </c>
      <c r="D30" s="5" t="s">
        <v>130</v>
      </c>
      <c r="E30" s="5" t="s">
        <v>75</v>
      </c>
      <c r="F30" s="5" t="s">
        <v>131</v>
      </c>
      <c r="G30" s="5" t="s">
        <v>62</v>
      </c>
      <c r="H30" s="5" t="s">
        <v>63</v>
      </c>
      <c r="I30" s="6">
        <v>46568</v>
      </c>
      <c r="J30" s="5" t="s">
        <v>48</v>
      </c>
      <c r="K30" s="5">
        <v>0</v>
      </c>
      <c r="L30" s="5"/>
      <c r="M30" s="5"/>
      <c r="N30" s="5"/>
      <c r="O30" s="5"/>
    </row>
    <row r="31" spans="1:15" ht="30" x14ac:dyDescent="0.25">
      <c r="A31" s="5">
        <v>30</v>
      </c>
      <c r="B31" s="5" t="s">
        <v>132</v>
      </c>
      <c r="C31" s="5" t="s">
        <v>133</v>
      </c>
      <c r="D31" s="5" t="s">
        <v>71</v>
      </c>
      <c r="E31" s="5" t="s">
        <v>68</v>
      </c>
      <c r="F31" s="5" t="s">
        <v>134</v>
      </c>
      <c r="G31" s="5" t="s">
        <v>62</v>
      </c>
      <c r="H31" s="5" t="s">
        <v>63</v>
      </c>
      <c r="I31" s="6">
        <v>46538</v>
      </c>
      <c r="J31" s="5" t="s">
        <v>48</v>
      </c>
      <c r="K31" s="5">
        <v>0</v>
      </c>
      <c r="L31" s="5"/>
      <c r="M31" s="5"/>
      <c r="N31" s="5"/>
      <c r="O31" s="5"/>
    </row>
    <row r="32" spans="1:15" ht="30" x14ac:dyDescent="0.25">
      <c r="A32" s="5">
        <v>31</v>
      </c>
      <c r="B32" s="5" t="s">
        <v>132</v>
      </c>
      <c r="C32" s="5" t="s">
        <v>135</v>
      </c>
      <c r="D32" s="5" t="s">
        <v>87</v>
      </c>
      <c r="E32" s="5" t="s">
        <v>68</v>
      </c>
      <c r="F32" s="5" t="s">
        <v>134</v>
      </c>
      <c r="G32" s="5" t="s">
        <v>62</v>
      </c>
      <c r="H32" s="5" t="s">
        <v>63</v>
      </c>
      <c r="I32" s="6">
        <v>46538</v>
      </c>
      <c r="J32" s="5" t="s">
        <v>48</v>
      </c>
      <c r="K32" s="5">
        <v>0</v>
      </c>
      <c r="L32" s="5"/>
      <c r="M32" s="5"/>
      <c r="N32" s="5"/>
      <c r="O32" s="5"/>
    </row>
    <row r="33" spans="1:15" ht="30" x14ac:dyDescent="0.25">
      <c r="A33" s="5">
        <v>32</v>
      </c>
      <c r="B33" s="5" t="s">
        <v>136</v>
      </c>
      <c r="C33" s="5" t="s">
        <v>137</v>
      </c>
      <c r="D33" s="5" t="s">
        <v>138</v>
      </c>
      <c r="E33" s="5" t="s">
        <v>75</v>
      </c>
      <c r="F33" s="5" t="s">
        <v>139</v>
      </c>
      <c r="G33" s="5" t="s">
        <v>140</v>
      </c>
      <c r="H33" s="5" t="s">
        <v>63</v>
      </c>
      <c r="I33" s="6">
        <v>46568</v>
      </c>
      <c r="J33" s="5" t="s">
        <v>48</v>
      </c>
      <c r="K33" s="5">
        <v>0</v>
      </c>
      <c r="L33" s="5"/>
      <c r="M33" s="5"/>
      <c r="N33" s="5"/>
      <c r="O33" s="5"/>
    </row>
    <row r="34" spans="1:15" ht="30" x14ac:dyDescent="0.25">
      <c r="A34" s="5">
        <v>33</v>
      </c>
      <c r="B34" s="5" t="s">
        <v>141</v>
      </c>
      <c r="C34" s="5" t="s">
        <v>142</v>
      </c>
      <c r="D34" s="5" t="s">
        <v>143</v>
      </c>
      <c r="E34" s="5" t="s">
        <v>75</v>
      </c>
      <c r="F34" s="5" t="s">
        <v>144</v>
      </c>
      <c r="G34" s="5" t="s">
        <v>62</v>
      </c>
      <c r="H34" s="5" t="s">
        <v>63</v>
      </c>
      <c r="I34" s="6">
        <v>46568</v>
      </c>
      <c r="J34" s="5" t="s">
        <v>48</v>
      </c>
      <c r="K34" s="5">
        <v>0</v>
      </c>
      <c r="L34" s="5"/>
      <c r="M34" s="5"/>
      <c r="N34" s="5"/>
      <c r="O34" s="5"/>
    </row>
    <row r="35" spans="1:15" ht="30" x14ac:dyDescent="0.25">
      <c r="A35" s="5">
        <v>34</v>
      </c>
      <c r="B35" s="5" t="s">
        <v>145</v>
      </c>
      <c r="C35" s="5" t="s">
        <v>146</v>
      </c>
      <c r="D35" s="5" t="s">
        <v>143</v>
      </c>
      <c r="E35" s="5" t="s">
        <v>75</v>
      </c>
      <c r="F35" s="5" t="s">
        <v>147</v>
      </c>
      <c r="G35" s="5" t="s">
        <v>62</v>
      </c>
      <c r="H35" s="5" t="s">
        <v>63</v>
      </c>
      <c r="I35" s="6">
        <v>46568</v>
      </c>
      <c r="J35" s="5" t="s">
        <v>48</v>
      </c>
      <c r="K35" s="5">
        <v>0</v>
      </c>
      <c r="L35" s="5"/>
      <c r="M35" s="5"/>
      <c r="N35" s="5"/>
      <c r="O35" s="5"/>
    </row>
    <row r="36" spans="1:15" ht="30" x14ac:dyDescent="0.25">
      <c r="A36" s="5">
        <v>35</v>
      </c>
      <c r="B36" s="5" t="s">
        <v>148</v>
      </c>
      <c r="C36" s="5" t="s">
        <v>149</v>
      </c>
      <c r="D36" s="5" t="s">
        <v>150</v>
      </c>
      <c r="E36" s="5" t="s">
        <v>75</v>
      </c>
      <c r="F36" s="5" t="s">
        <v>84</v>
      </c>
      <c r="G36" s="5" t="s">
        <v>62</v>
      </c>
      <c r="H36" s="5" t="s">
        <v>63</v>
      </c>
      <c r="I36" s="6">
        <v>46568</v>
      </c>
      <c r="J36" s="5" t="s">
        <v>48</v>
      </c>
      <c r="K36" s="5">
        <v>0</v>
      </c>
      <c r="L36" s="5"/>
      <c r="M36" s="5"/>
      <c r="N36" s="5"/>
      <c r="O36" s="5"/>
    </row>
    <row r="37" spans="1:15" ht="30" x14ac:dyDescent="0.25">
      <c r="A37" s="5">
        <v>36</v>
      </c>
      <c r="B37" s="5" t="s">
        <v>24</v>
      </c>
      <c r="C37" s="5" t="s">
        <v>151</v>
      </c>
      <c r="D37" s="5" t="s">
        <v>71</v>
      </c>
      <c r="E37" s="5" t="s">
        <v>65</v>
      </c>
      <c r="F37" s="5" t="s">
        <v>99</v>
      </c>
      <c r="G37" s="5" t="s">
        <v>62</v>
      </c>
      <c r="H37" s="5" t="s">
        <v>63</v>
      </c>
      <c r="I37" s="6">
        <v>46326</v>
      </c>
      <c r="J37" s="5" t="s">
        <v>48</v>
      </c>
      <c r="K37" s="5">
        <v>0</v>
      </c>
      <c r="L37" s="5"/>
      <c r="M37" s="5"/>
      <c r="N37" s="5"/>
      <c r="O37" s="5"/>
    </row>
    <row r="38" spans="1:15" ht="30" x14ac:dyDescent="0.25">
      <c r="A38" s="5">
        <v>37</v>
      </c>
      <c r="B38" s="5" t="s">
        <v>24</v>
      </c>
      <c r="C38" s="5" t="s">
        <v>152</v>
      </c>
      <c r="D38" s="5" t="s">
        <v>153</v>
      </c>
      <c r="E38" s="5" t="s">
        <v>154</v>
      </c>
      <c r="F38" s="5" t="s">
        <v>155</v>
      </c>
      <c r="G38" s="5" t="s">
        <v>62</v>
      </c>
      <c r="H38" s="5" t="s">
        <v>63</v>
      </c>
      <c r="I38" s="6">
        <v>46507</v>
      </c>
      <c r="J38" s="5" t="s">
        <v>48</v>
      </c>
      <c r="K38" s="5">
        <v>0</v>
      </c>
      <c r="L38" s="5"/>
      <c r="M38" s="5"/>
      <c r="N38" s="5"/>
      <c r="O38" s="5"/>
    </row>
    <row r="39" spans="1:15" ht="30" x14ac:dyDescent="0.25">
      <c r="A39" s="5">
        <v>38</v>
      </c>
      <c r="B39" s="5" t="s">
        <v>156</v>
      </c>
      <c r="C39" s="5" t="s">
        <v>157</v>
      </c>
      <c r="D39" s="5" t="s">
        <v>52</v>
      </c>
      <c r="E39" s="5" t="s">
        <v>53</v>
      </c>
      <c r="F39" s="5" t="s">
        <v>72</v>
      </c>
      <c r="G39" s="5" t="s">
        <v>62</v>
      </c>
      <c r="H39" s="5" t="s">
        <v>63</v>
      </c>
      <c r="I39" s="6">
        <v>46295</v>
      </c>
      <c r="J39" s="5" t="s">
        <v>48</v>
      </c>
      <c r="K39" s="5">
        <v>0</v>
      </c>
      <c r="L39" s="5"/>
      <c r="M39" s="5"/>
      <c r="N39" s="5"/>
      <c r="O39" s="5"/>
    </row>
    <row r="40" spans="1:15" ht="30" x14ac:dyDescent="0.25">
      <c r="A40" s="5">
        <v>39</v>
      </c>
      <c r="B40" s="5" t="s">
        <v>156</v>
      </c>
      <c r="C40" s="5" t="s">
        <v>158</v>
      </c>
      <c r="D40" s="5" t="s">
        <v>43</v>
      </c>
      <c r="E40" s="5" t="s">
        <v>75</v>
      </c>
      <c r="F40" s="5" t="s">
        <v>84</v>
      </c>
      <c r="G40" s="5" t="s">
        <v>62</v>
      </c>
      <c r="H40" s="5" t="s">
        <v>63</v>
      </c>
      <c r="I40" s="6">
        <v>46568</v>
      </c>
      <c r="J40" s="5" t="s">
        <v>48</v>
      </c>
      <c r="K40" s="5">
        <v>0</v>
      </c>
      <c r="L40" s="5"/>
      <c r="M40" s="5"/>
      <c r="N40" s="5"/>
      <c r="O40" s="5"/>
    </row>
    <row r="41" spans="1:15" x14ac:dyDescent="0.25">
      <c r="A41" s="5">
        <v>40</v>
      </c>
      <c r="B41" s="5" t="s">
        <v>20</v>
      </c>
      <c r="C41" s="5" t="s">
        <v>159</v>
      </c>
      <c r="D41" s="5" t="s">
        <v>160</v>
      </c>
      <c r="E41" s="5" t="s">
        <v>154</v>
      </c>
      <c r="F41" s="5" t="s">
        <v>84</v>
      </c>
      <c r="G41" s="5" t="s">
        <v>62</v>
      </c>
      <c r="H41" s="5" t="s">
        <v>63</v>
      </c>
      <c r="I41" s="6">
        <v>46507</v>
      </c>
      <c r="J41" s="5" t="s">
        <v>48</v>
      </c>
      <c r="K41" s="5">
        <v>0</v>
      </c>
      <c r="L41" s="5"/>
      <c r="M41" s="5"/>
      <c r="N41" s="5"/>
      <c r="O41" s="5"/>
    </row>
    <row r="42" spans="1:15" ht="30" x14ac:dyDescent="0.25">
      <c r="A42" s="5">
        <v>41</v>
      </c>
      <c r="B42" s="5" t="s">
        <v>20</v>
      </c>
      <c r="C42" s="5" t="s">
        <v>161</v>
      </c>
      <c r="D42" s="5" t="s">
        <v>160</v>
      </c>
      <c r="E42" s="5" t="s">
        <v>75</v>
      </c>
      <c r="F42" s="5" t="s">
        <v>84</v>
      </c>
      <c r="G42" s="5" t="s">
        <v>62</v>
      </c>
      <c r="H42" s="5" t="s">
        <v>63</v>
      </c>
      <c r="I42" s="6">
        <v>46568</v>
      </c>
      <c r="J42" s="5" t="s">
        <v>48</v>
      </c>
      <c r="K42" s="5">
        <v>0</v>
      </c>
      <c r="L42" s="5"/>
      <c r="M42" s="5"/>
      <c r="N42" s="5"/>
      <c r="O42" s="5"/>
    </row>
    <row r="43" spans="1:15" ht="30" x14ac:dyDescent="0.25">
      <c r="A43" s="5">
        <v>42</v>
      </c>
      <c r="B43" s="5" t="s">
        <v>26</v>
      </c>
      <c r="C43" s="5" t="s">
        <v>162</v>
      </c>
      <c r="D43" s="5" t="s">
        <v>98</v>
      </c>
      <c r="E43" s="5" t="s">
        <v>75</v>
      </c>
      <c r="F43" s="5" t="s">
        <v>119</v>
      </c>
      <c r="G43" s="5" t="s">
        <v>62</v>
      </c>
      <c r="H43" s="5" t="s">
        <v>63</v>
      </c>
      <c r="I43" s="6">
        <v>46568</v>
      </c>
      <c r="J43" s="5" t="s">
        <v>48</v>
      </c>
      <c r="K43" s="5">
        <v>0</v>
      </c>
      <c r="L43" s="5"/>
      <c r="M43" s="5"/>
      <c r="N43" s="5"/>
      <c r="O43" s="5"/>
    </row>
    <row r="44" spans="1:15" x14ac:dyDescent="0.25">
      <c r="A44" s="5">
        <v>43</v>
      </c>
      <c r="B44" s="5" t="s">
        <v>26</v>
      </c>
      <c r="C44" s="5" t="s">
        <v>163</v>
      </c>
      <c r="D44" s="5" t="s">
        <v>71</v>
      </c>
      <c r="E44" s="5" t="s">
        <v>75</v>
      </c>
      <c r="F44" s="5" t="s">
        <v>164</v>
      </c>
      <c r="G44" s="5" t="s">
        <v>62</v>
      </c>
      <c r="H44" s="5" t="s">
        <v>63</v>
      </c>
      <c r="I44" s="6">
        <v>46568</v>
      </c>
      <c r="J44" s="5" t="s">
        <v>48</v>
      </c>
      <c r="K44" s="5">
        <v>0</v>
      </c>
      <c r="L44" s="5"/>
      <c r="M44" s="5"/>
      <c r="N44" s="5"/>
      <c r="O44" s="5"/>
    </row>
    <row r="45" spans="1:15" ht="30" x14ac:dyDescent="0.25">
      <c r="A45" s="5">
        <v>44</v>
      </c>
      <c r="B45" s="5" t="s">
        <v>22</v>
      </c>
      <c r="C45" s="5" t="s">
        <v>165</v>
      </c>
      <c r="D45" s="5" t="s">
        <v>57</v>
      </c>
      <c r="E45" s="5" t="s">
        <v>75</v>
      </c>
      <c r="F45" s="5" t="s">
        <v>147</v>
      </c>
      <c r="G45" s="5" t="s">
        <v>62</v>
      </c>
      <c r="H45" s="5" t="s">
        <v>63</v>
      </c>
      <c r="I45" s="6">
        <v>46568</v>
      </c>
      <c r="J45" s="5" t="s">
        <v>48</v>
      </c>
      <c r="K45" s="5">
        <v>0</v>
      </c>
      <c r="L45" s="5"/>
      <c r="M45" s="5"/>
      <c r="N45" s="5"/>
      <c r="O45" s="5"/>
    </row>
    <row r="46" spans="1:15" ht="30" x14ac:dyDescent="0.25">
      <c r="A46" s="5">
        <v>45</v>
      </c>
      <c r="B46" s="5" t="s">
        <v>22</v>
      </c>
      <c r="C46" s="5" t="s">
        <v>166</v>
      </c>
      <c r="D46" s="5" t="s">
        <v>74</v>
      </c>
      <c r="E46" s="5" t="s">
        <v>75</v>
      </c>
      <c r="F46" s="5" t="s">
        <v>167</v>
      </c>
      <c r="G46" s="5" t="s">
        <v>62</v>
      </c>
      <c r="H46" s="5" t="s">
        <v>47</v>
      </c>
      <c r="I46" s="6">
        <v>46568</v>
      </c>
      <c r="J46" s="5" t="s">
        <v>48</v>
      </c>
      <c r="K46" s="5">
        <v>0</v>
      </c>
      <c r="L46" s="5"/>
      <c r="M46" s="5"/>
      <c r="N46" s="5"/>
      <c r="O46" s="5"/>
    </row>
    <row r="47" spans="1:15" ht="30" x14ac:dyDescent="0.25">
      <c r="A47" s="5">
        <v>46</v>
      </c>
      <c r="B47" s="5" t="s">
        <v>168</v>
      </c>
      <c r="C47" s="5" t="s">
        <v>169</v>
      </c>
      <c r="D47" s="5" t="s">
        <v>74</v>
      </c>
      <c r="E47" s="5" t="s">
        <v>75</v>
      </c>
      <c r="F47" s="5" t="s">
        <v>170</v>
      </c>
      <c r="G47" s="5" t="s">
        <v>62</v>
      </c>
      <c r="H47" s="5" t="s">
        <v>47</v>
      </c>
      <c r="I47" s="6">
        <v>46568</v>
      </c>
      <c r="J47" s="5" t="s">
        <v>48</v>
      </c>
      <c r="K47" s="5">
        <v>0</v>
      </c>
      <c r="L47" s="5"/>
      <c r="M47" s="5"/>
      <c r="N47" s="5"/>
      <c r="O47" s="5"/>
    </row>
    <row r="48" spans="1:15" ht="30" x14ac:dyDescent="0.25">
      <c r="A48" s="5">
        <v>47</v>
      </c>
      <c r="B48" s="5" t="s">
        <v>21</v>
      </c>
      <c r="C48" s="5" t="s">
        <v>171</v>
      </c>
      <c r="D48" s="5" t="s">
        <v>153</v>
      </c>
      <c r="E48" s="5" t="s">
        <v>90</v>
      </c>
      <c r="F48" s="5" t="s">
        <v>172</v>
      </c>
      <c r="G48" s="5" t="s">
        <v>173</v>
      </c>
      <c r="H48" s="5" t="s">
        <v>63</v>
      </c>
      <c r="I48" s="6">
        <v>46280</v>
      </c>
      <c r="J48" s="5" t="s">
        <v>48</v>
      </c>
      <c r="K48" s="5">
        <v>0</v>
      </c>
      <c r="L48" s="5"/>
      <c r="M48" s="5"/>
      <c r="N48" s="5"/>
      <c r="O48" s="5"/>
    </row>
    <row r="49" spans="1:15" ht="30" x14ac:dyDescent="0.25">
      <c r="A49" s="5">
        <v>48</v>
      </c>
      <c r="B49" s="5" t="s">
        <v>21</v>
      </c>
      <c r="C49" s="5" t="s">
        <v>174</v>
      </c>
      <c r="D49" s="5" t="s">
        <v>71</v>
      </c>
      <c r="E49" s="5" t="s">
        <v>75</v>
      </c>
      <c r="F49" s="5" t="s">
        <v>45</v>
      </c>
      <c r="G49" s="5" t="s">
        <v>50</v>
      </c>
      <c r="H49" s="5" t="s">
        <v>63</v>
      </c>
      <c r="I49" s="6">
        <v>46568</v>
      </c>
      <c r="J49" s="5" t="s">
        <v>48</v>
      </c>
      <c r="K49" s="5">
        <v>0</v>
      </c>
      <c r="L49" s="5"/>
      <c r="M49" s="5"/>
      <c r="N49" s="5"/>
      <c r="O49" s="5"/>
    </row>
    <row r="50" spans="1:15" ht="30" x14ac:dyDescent="0.25">
      <c r="A50" s="5">
        <v>49</v>
      </c>
      <c r="B50" s="5" t="s">
        <v>23</v>
      </c>
      <c r="C50" s="5" t="s">
        <v>175</v>
      </c>
      <c r="D50" s="5" t="s">
        <v>43</v>
      </c>
      <c r="E50" s="5" t="s">
        <v>75</v>
      </c>
      <c r="F50" s="5" t="s">
        <v>45</v>
      </c>
      <c r="G50" s="5" t="s">
        <v>46</v>
      </c>
      <c r="H50" s="5" t="s">
        <v>47</v>
      </c>
      <c r="I50" s="6">
        <v>46568</v>
      </c>
      <c r="J50" s="5" t="s">
        <v>48</v>
      </c>
      <c r="K50" s="5">
        <v>0</v>
      </c>
      <c r="L50" s="5"/>
      <c r="M50" s="5"/>
      <c r="N50" s="5"/>
      <c r="O50" s="5"/>
    </row>
    <row r="51" spans="1:15" ht="30" x14ac:dyDescent="0.25">
      <c r="A51" s="5">
        <v>50</v>
      </c>
      <c r="B51" s="5" t="s">
        <v>23</v>
      </c>
      <c r="C51" s="5" t="s">
        <v>176</v>
      </c>
      <c r="D51" s="5" t="s">
        <v>177</v>
      </c>
      <c r="E51" s="5" t="s">
        <v>75</v>
      </c>
      <c r="F51" s="5" t="s">
        <v>178</v>
      </c>
      <c r="G51" s="5" t="s">
        <v>179</v>
      </c>
      <c r="H51" s="5" t="s">
        <v>63</v>
      </c>
      <c r="I51" s="6">
        <v>46568</v>
      </c>
      <c r="J51" s="5" t="s">
        <v>48</v>
      </c>
      <c r="K51" s="5">
        <v>0</v>
      </c>
      <c r="L51" s="5"/>
      <c r="M51" s="5"/>
      <c r="N51" s="5"/>
      <c r="O51" s="5"/>
    </row>
    <row r="52" spans="1:15" x14ac:dyDescent="0.25">
      <c r="A52" s="5">
        <v>51</v>
      </c>
      <c r="B52" s="5" t="s">
        <v>180</v>
      </c>
      <c r="C52" s="5" t="s">
        <v>181</v>
      </c>
      <c r="D52" s="5" t="s">
        <v>43</v>
      </c>
      <c r="E52" s="5" t="s">
        <v>75</v>
      </c>
      <c r="F52" s="5" t="s">
        <v>182</v>
      </c>
      <c r="G52" s="5" t="s">
        <v>125</v>
      </c>
      <c r="H52" s="5" t="s">
        <v>47</v>
      </c>
      <c r="I52" s="6">
        <v>46568</v>
      </c>
      <c r="J52" s="5" t="s">
        <v>48</v>
      </c>
      <c r="K52" s="5">
        <v>0</v>
      </c>
      <c r="L52" s="5"/>
      <c r="M52" s="5"/>
      <c r="N52" s="5"/>
      <c r="O52" s="5"/>
    </row>
  </sheetData>
  <autoFilter ref="A1:O52"/>
  <conditionalFormatting sqref="J2:J52">
    <cfRule type="expression" dxfId="5" priority="1">
      <formula>$J2="Не начато"</formula>
    </cfRule>
    <cfRule type="expression" dxfId="4" priority="2">
      <formula>$J2="В работе"</formula>
    </cfRule>
    <cfRule type="expression" dxfId="3" priority="3">
      <formula>$J2="Есть риск"</formula>
    </cfRule>
    <cfRule type="expression" dxfId="2" priority="4">
      <formula>$J2="Просрочено"</formula>
    </cfRule>
    <cfRule type="expression" dxfId="1" priority="5">
      <formula>$J2="Выполнено"</formula>
    </cfRule>
  </conditionalFormatting>
  <conditionalFormatting sqref="I2:I52">
    <cfRule type="expression" dxfId="0" priority="6">
      <formula>AND($I2&lt;TODAY(),$J2&lt;&gt;"Выполнено")</formula>
    </cfRule>
  </conditionalFormatting>
  <dataValidations count="2">
    <dataValidation type="list" sqref="J2:J52">
      <formula1>"Не начато,В работе,Есть риск,Просрочено,Выполнено"</formula1>
    </dataValidation>
    <dataValidation type="whole" sqref="K2:K52">
      <formula1>0</formula1>
      <formula2>100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5" customWidth="1"/>
    <col min="2" max="2" width="18" customWidth="1"/>
    <col min="3" max="3" width="44" customWidth="1"/>
    <col min="4" max="4" width="25" customWidth="1"/>
    <col min="5" max="14" width="11" customWidth="1"/>
  </cols>
  <sheetData>
    <row r="1" spans="1:14" x14ac:dyDescent="0.25">
      <c r="A1" s="1" t="s">
        <v>27</v>
      </c>
      <c r="B1" s="1" t="s">
        <v>10</v>
      </c>
      <c r="C1" s="1" t="s">
        <v>183</v>
      </c>
      <c r="D1" s="1" t="s">
        <v>29</v>
      </c>
      <c r="E1" s="1" t="s">
        <v>184</v>
      </c>
      <c r="F1" s="1" t="s">
        <v>185</v>
      </c>
      <c r="G1" s="1" t="s">
        <v>186</v>
      </c>
      <c r="H1" s="1" t="s">
        <v>187</v>
      </c>
      <c r="I1" s="1" t="s">
        <v>188</v>
      </c>
      <c r="J1" s="1" t="s">
        <v>189</v>
      </c>
      <c r="K1" s="1" t="s">
        <v>190</v>
      </c>
      <c r="L1" s="1" t="s">
        <v>191</v>
      </c>
      <c r="M1" s="1" t="s">
        <v>192</v>
      </c>
      <c r="N1" s="1" t="s">
        <v>193</v>
      </c>
    </row>
    <row r="2" spans="1:14" x14ac:dyDescent="0.25">
      <c r="A2" s="3">
        <v>1</v>
      </c>
      <c r="B2" s="3" t="s">
        <v>41</v>
      </c>
      <c r="C2" s="3" t="s">
        <v>42</v>
      </c>
      <c r="D2" s="3" t="s">
        <v>43</v>
      </c>
      <c r="E2" s="7" t="s">
        <v>194</v>
      </c>
      <c r="F2" s="7" t="s">
        <v>194</v>
      </c>
      <c r="G2" s="7" t="s">
        <v>194</v>
      </c>
      <c r="H2" s="7" t="s">
        <v>194</v>
      </c>
      <c r="I2" s="7" t="s">
        <v>194</v>
      </c>
      <c r="J2" s="7" t="s">
        <v>194</v>
      </c>
      <c r="K2" s="7" t="s">
        <v>194</v>
      </c>
      <c r="L2" s="7" t="s">
        <v>194</v>
      </c>
      <c r="M2" s="7" t="s">
        <v>194</v>
      </c>
      <c r="N2" s="7" t="s">
        <v>194</v>
      </c>
    </row>
    <row r="3" spans="1:14" x14ac:dyDescent="0.25">
      <c r="A3" s="3">
        <v>2</v>
      </c>
      <c r="B3" s="3" t="s">
        <v>41</v>
      </c>
      <c r="C3" s="3" t="s">
        <v>195</v>
      </c>
      <c r="D3" s="3" t="s">
        <v>43</v>
      </c>
      <c r="E3" s="7" t="s">
        <v>194</v>
      </c>
      <c r="F3" s="7" t="s">
        <v>194</v>
      </c>
      <c r="G3" s="7" t="s">
        <v>194</v>
      </c>
      <c r="H3" s="7" t="s">
        <v>194</v>
      </c>
      <c r="I3" s="7" t="s">
        <v>194</v>
      </c>
      <c r="J3" s="7" t="s">
        <v>194</v>
      </c>
      <c r="K3" s="7" t="s">
        <v>194</v>
      </c>
      <c r="L3" s="7" t="s">
        <v>194</v>
      </c>
      <c r="M3" s="7" t="s">
        <v>194</v>
      </c>
      <c r="N3" s="7" t="s">
        <v>194</v>
      </c>
    </row>
    <row r="4" spans="1:14" x14ac:dyDescent="0.25">
      <c r="A4" s="3">
        <v>3</v>
      </c>
      <c r="B4" s="3" t="s">
        <v>18</v>
      </c>
      <c r="C4" s="3" t="s">
        <v>51</v>
      </c>
      <c r="D4" s="3" t="s">
        <v>52</v>
      </c>
      <c r="E4" s="7" t="s">
        <v>194</v>
      </c>
      <c r="F4" s="7" t="s">
        <v>194</v>
      </c>
      <c r="G4" s="7" t="s">
        <v>194</v>
      </c>
      <c r="H4" s="7" t="s">
        <v>194</v>
      </c>
      <c r="I4" s="7" t="s">
        <v>194</v>
      </c>
      <c r="J4" s="7" t="s">
        <v>194</v>
      </c>
      <c r="K4" s="7" t="s">
        <v>194</v>
      </c>
      <c r="L4" s="7" t="s">
        <v>194</v>
      </c>
      <c r="M4" s="7" t="s">
        <v>194</v>
      </c>
      <c r="N4" s="7" t="s">
        <v>194</v>
      </c>
    </row>
    <row r="5" spans="1:14" x14ac:dyDescent="0.25">
      <c r="A5" s="3">
        <v>4</v>
      </c>
      <c r="B5" s="3" t="s">
        <v>18</v>
      </c>
      <c r="C5" s="3" t="s">
        <v>56</v>
      </c>
      <c r="D5" s="3" t="s">
        <v>57</v>
      </c>
      <c r="E5" s="7" t="s">
        <v>194</v>
      </c>
      <c r="F5" s="7" t="s">
        <v>194</v>
      </c>
      <c r="G5" s="7" t="s">
        <v>194</v>
      </c>
      <c r="H5" s="7" t="s">
        <v>194</v>
      </c>
      <c r="I5" s="7" t="s">
        <v>194</v>
      </c>
      <c r="J5" s="7" t="s">
        <v>194</v>
      </c>
      <c r="K5" s="7" t="s">
        <v>194</v>
      </c>
      <c r="L5" s="7" t="s">
        <v>194</v>
      </c>
      <c r="M5" s="7" t="s">
        <v>194</v>
      </c>
      <c r="N5" s="7" t="s">
        <v>194</v>
      </c>
    </row>
    <row r="6" spans="1:14" x14ac:dyDescent="0.25">
      <c r="A6" s="3">
        <v>5</v>
      </c>
      <c r="B6" s="3" t="s">
        <v>18</v>
      </c>
      <c r="C6" s="3" t="s">
        <v>61</v>
      </c>
      <c r="D6" s="3" t="s">
        <v>52</v>
      </c>
      <c r="E6" s="7" t="s">
        <v>194</v>
      </c>
      <c r="F6" s="7" t="s">
        <v>194</v>
      </c>
      <c r="G6" s="7" t="s">
        <v>194</v>
      </c>
      <c r="H6" s="7" t="s">
        <v>194</v>
      </c>
      <c r="I6" s="7" t="s">
        <v>194</v>
      </c>
      <c r="J6" s="7" t="s">
        <v>194</v>
      </c>
      <c r="K6" s="7" t="s">
        <v>194</v>
      </c>
      <c r="L6" s="7" t="s">
        <v>194</v>
      </c>
      <c r="M6" s="7" t="s">
        <v>194</v>
      </c>
      <c r="N6" s="7" t="s">
        <v>194</v>
      </c>
    </row>
    <row r="7" spans="1:14" x14ac:dyDescent="0.25">
      <c r="A7" s="3">
        <v>6</v>
      </c>
      <c r="B7" s="3" t="s">
        <v>25</v>
      </c>
      <c r="C7" s="3" t="s">
        <v>64</v>
      </c>
      <c r="D7" s="3" t="s">
        <v>52</v>
      </c>
      <c r="E7" s="7" t="s">
        <v>194</v>
      </c>
      <c r="F7" s="7" t="s">
        <v>194</v>
      </c>
      <c r="G7" s="7" t="s">
        <v>194</v>
      </c>
      <c r="H7" s="7" t="s">
        <v>194</v>
      </c>
      <c r="I7" s="7" t="s">
        <v>194</v>
      </c>
      <c r="J7" s="7" t="s">
        <v>194</v>
      </c>
      <c r="K7" s="7" t="s">
        <v>194</v>
      </c>
      <c r="L7" s="7" t="s">
        <v>194</v>
      </c>
      <c r="M7" s="7" t="s">
        <v>194</v>
      </c>
      <c r="N7" s="7" t="s">
        <v>194</v>
      </c>
    </row>
    <row r="8" spans="1:14" x14ac:dyDescent="0.25">
      <c r="A8" s="3">
        <v>7</v>
      </c>
      <c r="B8" s="3" t="s">
        <v>25</v>
      </c>
      <c r="C8" s="3" t="s">
        <v>196</v>
      </c>
      <c r="D8" s="3" t="s">
        <v>52</v>
      </c>
      <c r="E8" s="7" t="s">
        <v>194</v>
      </c>
      <c r="F8" s="7" t="s">
        <v>194</v>
      </c>
      <c r="G8" s="7" t="s">
        <v>194</v>
      </c>
      <c r="H8" s="7" t="s">
        <v>194</v>
      </c>
      <c r="I8" s="7" t="s">
        <v>194</v>
      </c>
      <c r="J8" s="7" t="s">
        <v>194</v>
      </c>
      <c r="K8" s="7" t="s">
        <v>194</v>
      </c>
      <c r="L8" s="7" t="s">
        <v>194</v>
      </c>
      <c r="M8" s="7" t="s">
        <v>194</v>
      </c>
      <c r="N8" s="7" t="s">
        <v>194</v>
      </c>
    </row>
    <row r="9" spans="1:14" x14ac:dyDescent="0.25">
      <c r="A9" s="3">
        <v>8</v>
      </c>
      <c r="B9" s="3" t="s">
        <v>69</v>
      </c>
      <c r="C9" s="3" t="s">
        <v>70</v>
      </c>
      <c r="D9" s="3" t="s">
        <v>71</v>
      </c>
      <c r="E9" s="7" t="s">
        <v>194</v>
      </c>
      <c r="F9" s="7" t="s">
        <v>194</v>
      </c>
      <c r="G9" s="7" t="s">
        <v>194</v>
      </c>
      <c r="H9" s="7" t="s">
        <v>194</v>
      </c>
      <c r="I9" s="7" t="s">
        <v>194</v>
      </c>
      <c r="J9" s="7" t="s">
        <v>194</v>
      </c>
      <c r="K9" s="7" t="s">
        <v>194</v>
      </c>
      <c r="L9" s="7" t="s">
        <v>194</v>
      </c>
      <c r="M9" s="7" t="s">
        <v>194</v>
      </c>
      <c r="N9" s="7" t="s">
        <v>194</v>
      </c>
    </row>
    <row r="10" spans="1:14" x14ac:dyDescent="0.25">
      <c r="A10" s="3">
        <v>9</v>
      </c>
      <c r="B10" s="3" t="s">
        <v>69</v>
      </c>
      <c r="C10" s="3" t="s">
        <v>73</v>
      </c>
      <c r="D10" s="3" t="s">
        <v>74</v>
      </c>
      <c r="E10" s="7" t="s">
        <v>194</v>
      </c>
      <c r="F10" s="7" t="s">
        <v>194</v>
      </c>
      <c r="G10" s="7" t="s">
        <v>194</v>
      </c>
      <c r="H10" s="7" t="s">
        <v>194</v>
      </c>
      <c r="I10" s="7" t="s">
        <v>194</v>
      </c>
      <c r="J10" s="7" t="s">
        <v>194</v>
      </c>
      <c r="K10" s="7" t="s">
        <v>194</v>
      </c>
      <c r="L10" s="7" t="s">
        <v>194</v>
      </c>
      <c r="M10" s="7" t="s">
        <v>194</v>
      </c>
      <c r="N10" s="7" t="s">
        <v>194</v>
      </c>
    </row>
    <row r="11" spans="1:14" x14ac:dyDescent="0.25">
      <c r="A11" s="3">
        <v>10</v>
      </c>
      <c r="B11" s="3" t="s">
        <v>78</v>
      </c>
      <c r="C11" s="3" t="s">
        <v>79</v>
      </c>
      <c r="D11" s="3" t="s">
        <v>80</v>
      </c>
      <c r="E11" s="7" t="s">
        <v>194</v>
      </c>
      <c r="F11" s="7" t="s">
        <v>194</v>
      </c>
      <c r="G11" s="7" t="s">
        <v>194</v>
      </c>
      <c r="H11" s="7" t="s">
        <v>194</v>
      </c>
      <c r="I11" s="7" t="s">
        <v>194</v>
      </c>
      <c r="J11" s="7" t="s">
        <v>194</v>
      </c>
      <c r="K11" s="7" t="s">
        <v>194</v>
      </c>
      <c r="L11" s="7" t="s">
        <v>194</v>
      </c>
      <c r="M11" s="7" t="s">
        <v>194</v>
      </c>
      <c r="N11" s="7" t="s">
        <v>194</v>
      </c>
    </row>
    <row r="12" spans="1:14" x14ac:dyDescent="0.25">
      <c r="A12" s="3">
        <v>11</v>
      </c>
      <c r="B12" s="3" t="s">
        <v>82</v>
      </c>
      <c r="C12" s="3" t="s">
        <v>83</v>
      </c>
      <c r="D12" s="3" t="s">
        <v>71</v>
      </c>
      <c r="E12" s="7" t="s">
        <v>194</v>
      </c>
      <c r="F12" s="7" t="s">
        <v>194</v>
      </c>
      <c r="G12" s="7" t="s">
        <v>194</v>
      </c>
      <c r="H12" s="7" t="s">
        <v>194</v>
      </c>
      <c r="I12" s="7" t="s">
        <v>194</v>
      </c>
      <c r="J12" s="7" t="s">
        <v>194</v>
      </c>
      <c r="K12" s="7" t="s">
        <v>194</v>
      </c>
      <c r="L12" s="7" t="s">
        <v>194</v>
      </c>
      <c r="M12" s="7" t="s">
        <v>194</v>
      </c>
      <c r="N12" s="7" t="s">
        <v>194</v>
      </c>
    </row>
    <row r="13" spans="1:14" x14ac:dyDescent="0.25">
      <c r="A13" s="3">
        <v>12</v>
      </c>
      <c r="B13" s="3" t="s">
        <v>85</v>
      </c>
      <c r="C13" s="3" t="s">
        <v>86</v>
      </c>
      <c r="D13" s="3" t="s">
        <v>87</v>
      </c>
      <c r="E13" s="7" t="s">
        <v>194</v>
      </c>
      <c r="F13" s="7" t="s">
        <v>194</v>
      </c>
      <c r="G13" s="7" t="s">
        <v>194</v>
      </c>
      <c r="H13" s="7" t="s">
        <v>194</v>
      </c>
      <c r="I13" s="7" t="s">
        <v>194</v>
      </c>
      <c r="J13" s="7" t="s">
        <v>194</v>
      </c>
      <c r="K13" s="7" t="s">
        <v>194</v>
      </c>
      <c r="L13" s="7" t="s">
        <v>194</v>
      </c>
      <c r="M13" s="7" t="s">
        <v>194</v>
      </c>
      <c r="N13" s="7" t="s">
        <v>194</v>
      </c>
    </row>
    <row r="14" spans="1:14" x14ac:dyDescent="0.25">
      <c r="A14" s="3">
        <v>13</v>
      </c>
      <c r="B14" s="3" t="s">
        <v>13</v>
      </c>
      <c r="C14" s="3" t="s">
        <v>89</v>
      </c>
      <c r="D14" s="3" t="s">
        <v>87</v>
      </c>
      <c r="E14" s="7" t="s">
        <v>194</v>
      </c>
      <c r="F14" s="7" t="s">
        <v>194</v>
      </c>
      <c r="G14" s="7" t="s">
        <v>194</v>
      </c>
      <c r="H14" s="7" t="s">
        <v>194</v>
      </c>
      <c r="I14" s="7" t="s">
        <v>194</v>
      </c>
      <c r="J14" s="7" t="s">
        <v>194</v>
      </c>
      <c r="K14" s="7" t="s">
        <v>194</v>
      </c>
      <c r="L14" s="7" t="s">
        <v>194</v>
      </c>
      <c r="M14" s="7" t="s">
        <v>194</v>
      </c>
      <c r="N14" s="7" t="s">
        <v>194</v>
      </c>
    </row>
    <row r="15" spans="1:14" x14ac:dyDescent="0.25">
      <c r="A15" s="3">
        <v>14</v>
      </c>
      <c r="B15" s="3" t="s">
        <v>13</v>
      </c>
      <c r="C15" s="3" t="s">
        <v>92</v>
      </c>
      <c r="D15" s="3" t="s">
        <v>87</v>
      </c>
      <c r="E15" s="7" t="s">
        <v>194</v>
      </c>
      <c r="F15" s="7" t="s">
        <v>194</v>
      </c>
      <c r="G15" s="7" t="s">
        <v>194</v>
      </c>
      <c r="H15" s="7" t="s">
        <v>194</v>
      </c>
      <c r="I15" s="7" t="s">
        <v>194</v>
      </c>
      <c r="J15" s="7" t="s">
        <v>194</v>
      </c>
      <c r="K15" s="7" t="s">
        <v>194</v>
      </c>
      <c r="L15" s="7" t="s">
        <v>194</v>
      </c>
      <c r="M15" s="7" t="s">
        <v>194</v>
      </c>
      <c r="N15" s="7" t="s">
        <v>194</v>
      </c>
    </row>
    <row r="16" spans="1:14" x14ac:dyDescent="0.25">
      <c r="A16" s="3">
        <v>15</v>
      </c>
      <c r="B16" s="3" t="s">
        <v>13</v>
      </c>
      <c r="C16" s="3" t="s">
        <v>94</v>
      </c>
      <c r="D16" s="3" t="s">
        <v>95</v>
      </c>
      <c r="E16" s="7" t="s">
        <v>194</v>
      </c>
      <c r="F16" s="7" t="s">
        <v>194</v>
      </c>
      <c r="G16" s="7" t="s">
        <v>194</v>
      </c>
      <c r="H16" s="7" t="s">
        <v>194</v>
      </c>
      <c r="I16" s="7" t="s">
        <v>194</v>
      </c>
      <c r="J16" s="7" t="s">
        <v>194</v>
      </c>
      <c r="K16" s="7" t="s">
        <v>194</v>
      </c>
      <c r="L16" s="7" t="s">
        <v>194</v>
      </c>
      <c r="M16" s="7" t="s">
        <v>194</v>
      </c>
      <c r="N16" s="7" t="s">
        <v>194</v>
      </c>
    </row>
    <row r="17" spans="1:14" x14ac:dyDescent="0.25">
      <c r="A17" s="3">
        <v>16</v>
      </c>
      <c r="B17" s="3" t="s">
        <v>13</v>
      </c>
      <c r="C17" s="3" t="s">
        <v>97</v>
      </c>
      <c r="D17" s="3" t="s">
        <v>98</v>
      </c>
      <c r="E17" s="7" t="s">
        <v>194</v>
      </c>
      <c r="F17" s="7" t="s">
        <v>194</v>
      </c>
      <c r="G17" s="7" t="s">
        <v>194</v>
      </c>
      <c r="H17" s="7" t="s">
        <v>194</v>
      </c>
      <c r="I17" s="7" t="s">
        <v>194</v>
      </c>
      <c r="J17" s="7" t="s">
        <v>194</v>
      </c>
      <c r="K17" s="7" t="s">
        <v>194</v>
      </c>
      <c r="L17" s="7" t="s">
        <v>194</v>
      </c>
      <c r="M17" s="7" t="s">
        <v>194</v>
      </c>
      <c r="N17" s="7" t="s">
        <v>194</v>
      </c>
    </row>
    <row r="18" spans="1:14" x14ac:dyDescent="0.25">
      <c r="A18" s="3">
        <v>17</v>
      </c>
      <c r="B18" s="3" t="s">
        <v>19</v>
      </c>
      <c r="C18" s="3" t="s">
        <v>100</v>
      </c>
      <c r="D18" s="3" t="s">
        <v>95</v>
      </c>
      <c r="E18" s="7" t="s">
        <v>194</v>
      </c>
      <c r="F18" s="7" t="s">
        <v>194</v>
      </c>
      <c r="G18" s="7" t="s">
        <v>194</v>
      </c>
      <c r="H18" s="7" t="s">
        <v>194</v>
      </c>
      <c r="I18" s="7" t="s">
        <v>194</v>
      </c>
      <c r="J18" s="7" t="s">
        <v>194</v>
      </c>
      <c r="K18" s="7" t="s">
        <v>194</v>
      </c>
      <c r="L18" s="7" t="s">
        <v>194</v>
      </c>
      <c r="M18" s="7" t="s">
        <v>194</v>
      </c>
      <c r="N18" s="7" t="s">
        <v>194</v>
      </c>
    </row>
    <row r="19" spans="1:14" x14ac:dyDescent="0.25">
      <c r="A19" s="3">
        <v>18</v>
      </c>
      <c r="B19" s="3" t="s">
        <v>19</v>
      </c>
      <c r="C19" s="3" t="s">
        <v>103</v>
      </c>
      <c r="D19" s="3" t="s">
        <v>95</v>
      </c>
      <c r="E19" s="7" t="s">
        <v>194</v>
      </c>
      <c r="F19" s="7" t="s">
        <v>194</v>
      </c>
      <c r="G19" s="7" t="s">
        <v>194</v>
      </c>
      <c r="H19" s="7" t="s">
        <v>194</v>
      </c>
      <c r="I19" s="7" t="s">
        <v>194</v>
      </c>
      <c r="J19" s="7" t="s">
        <v>194</v>
      </c>
      <c r="K19" s="7" t="s">
        <v>194</v>
      </c>
      <c r="L19" s="7" t="s">
        <v>194</v>
      </c>
      <c r="M19" s="7" t="s">
        <v>194</v>
      </c>
      <c r="N19" s="7" t="s">
        <v>194</v>
      </c>
    </row>
    <row r="20" spans="1:14" x14ac:dyDescent="0.25">
      <c r="A20" s="3">
        <v>19</v>
      </c>
      <c r="B20" s="3" t="s">
        <v>17</v>
      </c>
      <c r="C20" s="3" t="s">
        <v>104</v>
      </c>
      <c r="D20" s="3" t="s">
        <v>52</v>
      </c>
      <c r="E20" s="7" t="s">
        <v>194</v>
      </c>
      <c r="F20" s="7" t="s">
        <v>194</v>
      </c>
      <c r="G20" s="7" t="s">
        <v>194</v>
      </c>
      <c r="H20" s="7" t="s">
        <v>194</v>
      </c>
      <c r="I20" s="7" t="s">
        <v>194</v>
      </c>
      <c r="J20" s="7" t="s">
        <v>194</v>
      </c>
      <c r="K20" s="7" t="s">
        <v>194</v>
      </c>
      <c r="L20" s="7" t="s">
        <v>194</v>
      </c>
      <c r="M20" s="7" t="s">
        <v>194</v>
      </c>
      <c r="N20" s="7" t="s">
        <v>194</v>
      </c>
    </row>
    <row r="21" spans="1:14" x14ac:dyDescent="0.25">
      <c r="A21" s="3">
        <v>20</v>
      </c>
      <c r="B21" s="3" t="s">
        <v>17</v>
      </c>
      <c r="C21" s="3" t="s">
        <v>105</v>
      </c>
      <c r="D21" s="3" t="s">
        <v>106</v>
      </c>
      <c r="E21" s="7" t="s">
        <v>194</v>
      </c>
      <c r="F21" s="7" t="s">
        <v>194</v>
      </c>
      <c r="G21" s="7" t="s">
        <v>194</v>
      </c>
      <c r="H21" s="7" t="s">
        <v>194</v>
      </c>
      <c r="I21" s="7" t="s">
        <v>194</v>
      </c>
      <c r="J21" s="7" t="s">
        <v>194</v>
      </c>
      <c r="K21" s="7" t="s">
        <v>194</v>
      </c>
      <c r="L21" s="7" t="s">
        <v>194</v>
      </c>
      <c r="M21" s="7" t="s">
        <v>194</v>
      </c>
      <c r="N21" s="7" t="s">
        <v>194</v>
      </c>
    </row>
    <row r="22" spans="1:14" x14ac:dyDescent="0.25">
      <c r="A22" s="3">
        <v>21</v>
      </c>
      <c r="B22" s="3" t="s">
        <v>109</v>
      </c>
      <c r="C22" s="3" t="s">
        <v>110</v>
      </c>
      <c r="D22" s="3" t="s">
        <v>52</v>
      </c>
      <c r="E22" s="7" t="s">
        <v>194</v>
      </c>
      <c r="F22" s="7" t="s">
        <v>194</v>
      </c>
      <c r="G22" s="7" t="s">
        <v>194</v>
      </c>
      <c r="H22" s="7" t="s">
        <v>194</v>
      </c>
      <c r="I22" s="7" t="s">
        <v>194</v>
      </c>
      <c r="J22" s="7" t="s">
        <v>194</v>
      </c>
      <c r="K22" s="7" t="s">
        <v>194</v>
      </c>
      <c r="L22" s="7" t="s">
        <v>194</v>
      </c>
      <c r="M22" s="7" t="s">
        <v>194</v>
      </c>
      <c r="N22" s="7" t="s">
        <v>194</v>
      </c>
    </row>
    <row r="23" spans="1:14" x14ac:dyDescent="0.25">
      <c r="A23" s="3">
        <v>22</v>
      </c>
      <c r="B23" s="3" t="s">
        <v>17</v>
      </c>
      <c r="C23" s="3" t="s">
        <v>111</v>
      </c>
      <c r="D23" s="3" t="s">
        <v>52</v>
      </c>
      <c r="E23" s="7" t="s">
        <v>194</v>
      </c>
      <c r="F23" s="7" t="s">
        <v>194</v>
      </c>
      <c r="G23" s="7" t="s">
        <v>194</v>
      </c>
      <c r="H23" s="7" t="s">
        <v>194</v>
      </c>
      <c r="I23" s="7" t="s">
        <v>194</v>
      </c>
      <c r="J23" s="7" t="s">
        <v>194</v>
      </c>
      <c r="K23" s="7" t="s">
        <v>194</v>
      </c>
      <c r="L23" s="7" t="s">
        <v>194</v>
      </c>
      <c r="M23" s="7" t="s">
        <v>194</v>
      </c>
      <c r="N23" s="7" t="s">
        <v>194</v>
      </c>
    </row>
    <row r="24" spans="1:14" x14ac:dyDescent="0.25">
      <c r="A24" s="3">
        <v>23</v>
      </c>
      <c r="B24" s="3" t="s">
        <v>15</v>
      </c>
      <c r="C24" s="3" t="s">
        <v>114</v>
      </c>
      <c r="D24" s="3" t="s">
        <v>115</v>
      </c>
      <c r="E24" s="7" t="s">
        <v>194</v>
      </c>
      <c r="F24" s="7" t="s">
        <v>194</v>
      </c>
      <c r="G24" s="7" t="s">
        <v>194</v>
      </c>
      <c r="H24" s="7" t="s">
        <v>194</v>
      </c>
      <c r="I24" s="7" t="s">
        <v>194</v>
      </c>
      <c r="J24" s="7" t="s">
        <v>194</v>
      </c>
      <c r="K24" s="7" t="s">
        <v>194</v>
      </c>
      <c r="L24" s="7" t="s">
        <v>194</v>
      </c>
      <c r="M24" s="7" t="s">
        <v>194</v>
      </c>
      <c r="N24" s="7" t="s">
        <v>194</v>
      </c>
    </row>
    <row r="25" spans="1:14" x14ac:dyDescent="0.25">
      <c r="A25" s="3">
        <v>24</v>
      </c>
      <c r="B25" s="3" t="s">
        <v>15</v>
      </c>
      <c r="C25" s="3" t="s">
        <v>117</v>
      </c>
      <c r="D25" s="3" t="s">
        <v>52</v>
      </c>
      <c r="E25" s="7" t="s">
        <v>194</v>
      </c>
      <c r="F25" s="7" t="s">
        <v>194</v>
      </c>
      <c r="G25" s="7" t="s">
        <v>194</v>
      </c>
      <c r="H25" s="7" t="s">
        <v>194</v>
      </c>
      <c r="I25" s="7" t="s">
        <v>194</v>
      </c>
      <c r="J25" s="7" t="s">
        <v>194</v>
      </c>
      <c r="K25" s="7" t="s">
        <v>194</v>
      </c>
      <c r="L25" s="7" t="s">
        <v>194</v>
      </c>
      <c r="M25" s="7" t="s">
        <v>194</v>
      </c>
      <c r="N25" s="7" t="s">
        <v>194</v>
      </c>
    </row>
    <row r="26" spans="1:14" x14ac:dyDescent="0.25">
      <c r="A26" s="3">
        <v>25</v>
      </c>
      <c r="B26" s="3" t="s">
        <v>15</v>
      </c>
      <c r="C26" s="3" t="s">
        <v>118</v>
      </c>
      <c r="D26" s="3" t="s">
        <v>98</v>
      </c>
      <c r="E26" s="7" t="s">
        <v>194</v>
      </c>
      <c r="F26" s="7" t="s">
        <v>194</v>
      </c>
      <c r="G26" s="7" t="s">
        <v>194</v>
      </c>
      <c r="H26" s="7" t="s">
        <v>194</v>
      </c>
      <c r="I26" s="7" t="s">
        <v>194</v>
      </c>
      <c r="J26" s="7" t="s">
        <v>194</v>
      </c>
      <c r="K26" s="7" t="s">
        <v>194</v>
      </c>
      <c r="L26" s="7" t="s">
        <v>194</v>
      </c>
      <c r="M26" s="7" t="s">
        <v>194</v>
      </c>
      <c r="N26" s="7" t="s">
        <v>194</v>
      </c>
    </row>
    <row r="27" spans="1:14" x14ac:dyDescent="0.25">
      <c r="A27" s="3">
        <v>26</v>
      </c>
      <c r="B27" s="3" t="s">
        <v>120</v>
      </c>
      <c r="C27" s="3" t="s">
        <v>121</v>
      </c>
      <c r="D27" s="3" t="s">
        <v>122</v>
      </c>
      <c r="E27" s="7" t="s">
        <v>194</v>
      </c>
      <c r="F27" s="7" t="s">
        <v>194</v>
      </c>
      <c r="G27" s="7" t="s">
        <v>194</v>
      </c>
      <c r="H27" s="7" t="s">
        <v>194</v>
      </c>
      <c r="I27" s="7" t="s">
        <v>194</v>
      </c>
      <c r="J27" s="7" t="s">
        <v>194</v>
      </c>
      <c r="K27" s="7" t="s">
        <v>194</v>
      </c>
      <c r="L27" s="7" t="s">
        <v>194</v>
      </c>
      <c r="M27" s="7" t="s">
        <v>194</v>
      </c>
      <c r="N27" s="7" t="s">
        <v>194</v>
      </c>
    </row>
    <row r="28" spans="1:14" x14ac:dyDescent="0.25">
      <c r="A28" s="3">
        <v>27</v>
      </c>
      <c r="B28" s="3" t="s">
        <v>15</v>
      </c>
      <c r="C28" s="3" t="s">
        <v>124</v>
      </c>
      <c r="D28" s="3" t="s">
        <v>115</v>
      </c>
      <c r="E28" s="7" t="s">
        <v>194</v>
      </c>
      <c r="F28" s="7" t="s">
        <v>194</v>
      </c>
      <c r="G28" s="7" t="s">
        <v>194</v>
      </c>
      <c r="H28" s="7" t="s">
        <v>194</v>
      </c>
      <c r="I28" s="7" t="s">
        <v>194</v>
      </c>
      <c r="J28" s="7" t="s">
        <v>194</v>
      </c>
      <c r="K28" s="7" t="s">
        <v>194</v>
      </c>
      <c r="L28" s="7" t="s">
        <v>194</v>
      </c>
      <c r="M28" s="7" t="s">
        <v>194</v>
      </c>
      <c r="N28" s="7" t="s">
        <v>194</v>
      </c>
    </row>
    <row r="29" spans="1:14" x14ac:dyDescent="0.25">
      <c r="A29" s="3">
        <v>28</v>
      </c>
      <c r="B29" s="3" t="s">
        <v>126</v>
      </c>
      <c r="C29" s="3" t="s">
        <v>127</v>
      </c>
      <c r="D29" s="3" t="s">
        <v>57</v>
      </c>
      <c r="E29" s="7" t="s">
        <v>194</v>
      </c>
      <c r="F29" s="7" t="s">
        <v>194</v>
      </c>
      <c r="G29" s="7" t="s">
        <v>194</v>
      </c>
      <c r="H29" s="7" t="s">
        <v>194</v>
      </c>
      <c r="I29" s="7" t="s">
        <v>194</v>
      </c>
      <c r="J29" s="7" t="s">
        <v>194</v>
      </c>
      <c r="K29" s="7" t="s">
        <v>194</v>
      </c>
      <c r="L29" s="7" t="s">
        <v>194</v>
      </c>
      <c r="M29" s="7" t="s">
        <v>194</v>
      </c>
      <c r="N29" s="7" t="s">
        <v>194</v>
      </c>
    </row>
    <row r="30" spans="1:14" x14ac:dyDescent="0.25">
      <c r="A30" s="3">
        <v>29</v>
      </c>
      <c r="B30" s="3" t="s">
        <v>126</v>
      </c>
      <c r="C30" s="3" t="s">
        <v>129</v>
      </c>
      <c r="D30" s="3" t="s">
        <v>130</v>
      </c>
      <c r="E30" s="7" t="s">
        <v>194</v>
      </c>
      <c r="F30" s="7" t="s">
        <v>194</v>
      </c>
      <c r="G30" s="7" t="s">
        <v>194</v>
      </c>
      <c r="H30" s="7" t="s">
        <v>194</v>
      </c>
      <c r="I30" s="7" t="s">
        <v>194</v>
      </c>
      <c r="J30" s="7" t="s">
        <v>194</v>
      </c>
      <c r="K30" s="7" t="s">
        <v>194</v>
      </c>
      <c r="L30" s="7" t="s">
        <v>194</v>
      </c>
      <c r="M30" s="7" t="s">
        <v>194</v>
      </c>
      <c r="N30" s="7" t="s">
        <v>194</v>
      </c>
    </row>
    <row r="31" spans="1:14" x14ac:dyDescent="0.25">
      <c r="A31" s="3">
        <v>30</v>
      </c>
      <c r="B31" s="3" t="s">
        <v>132</v>
      </c>
      <c r="C31" s="3" t="s">
        <v>133</v>
      </c>
      <c r="D31" s="3" t="s">
        <v>71</v>
      </c>
      <c r="E31" s="7" t="s">
        <v>194</v>
      </c>
      <c r="F31" s="7" t="s">
        <v>194</v>
      </c>
      <c r="G31" s="7" t="s">
        <v>194</v>
      </c>
      <c r="H31" s="7" t="s">
        <v>194</v>
      </c>
      <c r="I31" s="7" t="s">
        <v>194</v>
      </c>
      <c r="J31" s="7" t="s">
        <v>194</v>
      </c>
      <c r="K31" s="7" t="s">
        <v>194</v>
      </c>
      <c r="L31" s="7" t="s">
        <v>194</v>
      </c>
      <c r="M31" s="7" t="s">
        <v>194</v>
      </c>
      <c r="N31" s="7" t="s">
        <v>194</v>
      </c>
    </row>
    <row r="32" spans="1:14" x14ac:dyDescent="0.25">
      <c r="A32" s="3">
        <v>31</v>
      </c>
      <c r="B32" s="3" t="s">
        <v>132</v>
      </c>
      <c r="C32" s="3" t="s">
        <v>135</v>
      </c>
      <c r="D32" s="3" t="s">
        <v>87</v>
      </c>
      <c r="E32" s="7" t="s">
        <v>194</v>
      </c>
      <c r="F32" s="7" t="s">
        <v>194</v>
      </c>
      <c r="G32" s="7" t="s">
        <v>194</v>
      </c>
      <c r="H32" s="7" t="s">
        <v>194</v>
      </c>
      <c r="I32" s="7" t="s">
        <v>194</v>
      </c>
      <c r="J32" s="7" t="s">
        <v>194</v>
      </c>
      <c r="K32" s="7" t="s">
        <v>194</v>
      </c>
      <c r="L32" s="7" t="s">
        <v>194</v>
      </c>
      <c r="M32" s="7" t="s">
        <v>194</v>
      </c>
      <c r="N32" s="7" t="s">
        <v>194</v>
      </c>
    </row>
    <row r="33" spans="1:14" x14ac:dyDescent="0.25">
      <c r="A33" s="3">
        <v>32</v>
      </c>
      <c r="B33" s="3" t="s">
        <v>136</v>
      </c>
      <c r="C33" s="3" t="s">
        <v>137</v>
      </c>
      <c r="D33" s="3" t="s">
        <v>138</v>
      </c>
      <c r="E33" s="7" t="s">
        <v>194</v>
      </c>
      <c r="F33" s="7" t="s">
        <v>194</v>
      </c>
      <c r="G33" s="7" t="s">
        <v>194</v>
      </c>
      <c r="H33" s="7" t="s">
        <v>194</v>
      </c>
      <c r="I33" s="7" t="s">
        <v>194</v>
      </c>
      <c r="J33" s="7" t="s">
        <v>194</v>
      </c>
      <c r="K33" s="7" t="s">
        <v>194</v>
      </c>
      <c r="L33" s="7" t="s">
        <v>194</v>
      </c>
      <c r="M33" s="7" t="s">
        <v>194</v>
      </c>
      <c r="N33" s="7" t="s">
        <v>194</v>
      </c>
    </row>
    <row r="34" spans="1:14" x14ac:dyDescent="0.25">
      <c r="A34" s="3">
        <v>33</v>
      </c>
      <c r="B34" s="3" t="s">
        <v>141</v>
      </c>
      <c r="C34" s="3" t="s">
        <v>142</v>
      </c>
      <c r="D34" s="3" t="s">
        <v>143</v>
      </c>
      <c r="E34" s="7" t="s">
        <v>194</v>
      </c>
      <c r="F34" s="7" t="s">
        <v>194</v>
      </c>
      <c r="G34" s="7" t="s">
        <v>194</v>
      </c>
      <c r="H34" s="7" t="s">
        <v>194</v>
      </c>
      <c r="I34" s="7" t="s">
        <v>194</v>
      </c>
      <c r="J34" s="7" t="s">
        <v>194</v>
      </c>
      <c r="K34" s="7" t="s">
        <v>194</v>
      </c>
      <c r="L34" s="7" t="s">
        <v>194</v>
      </c>
      <c r="M34" s="7" t="s">
        <v>194</v>
      </c>
      <c r="N34" s="7" t="s">
        <v>194</v>
      </c>
    </row>
    <row r="35" spans="1:14" x14ac:dyDescent="0.25">
      <c r="A35" s="3">
        <v>34</v>
      </c>
      <c r="B35" s="3" t="s">
        <v>145</v>
      </c>
      <c r="C35" s="3" t="s">
        <v>146</v>
      </c>
      <c r="D35" s="3" t="s">
        <v>143</v>
      </c>
      <c r="E35" s="7" t="s">
        <v>194</v>
      </c>
      <c r="F35" s="7" t="s">
        <v>194</v>
      </c>
      <c r="G35" s="7" t="s">
        <v>194</v>
      </c>
      <c r="H35" s="7" t="s">
        <v>194</v>
      </c>
      <c r="I35" s="7" t="s">
        <v>194</v>
      </c>
      <c r="J35" s="7" t="s">
        <v>194</v>
      </c>
      <c r="K35" s="7" t="s">
        <v>194</v>
      </c>
      <c r="L35" s="7" t="s">
        <v>194</v>
      </c>
      <c r="M35" s="7" t="s">
        <v>194</v>
      </c>
      <c r="N35" s="7" t="s">
        <v>194</v>
      </c>
    </row>
    <row r="36" spans="1:14" x14ac:dyDescent="0.25">
      <c r="A36" s="3">
        <v>35</v>
      </c>
      <c r="B36" s="3" t="s">
        <v>148</v>
      </c>
      <c r="C36" s="3" t="s">
        <v>149</v>
      </c>
      <c r="D36" s="3" t="s">
        <v>150</v>
      </c>
      <c r="E36" s="7" t="s">
        <v>194</v>
      </c>
      <c r="F36" s="7" t="s">
        <v>194</v>
      </c>
      <c r="G36" s="7" t="s">
        <v>194</v>
      </c>
      <c r="H36" s="7" t="s">
        <v>194</v>
      </c>
      <c r="I36" s="7" t="s">
        <v>194</v>
      </c>
      <c r="J36" s="7" t="s">
        <v>194</v>
      </c>
      <c r="K36" s="7" t="s">
        <v>194</v>
      </c>
      <c r="L36" s="7" t="s">
        <v>194</v>
      </c>
      <c r="M36" s="7" t="s">
        <v>194</v>
      </c>
      <c r="N36" s="7" t="s">
        <v>194</v>
      </c>
    </row>
    <row r="37" spans="1:14" x14ac:dyDescent="0.25">
      <c r="A37" s="3">
        <v>36</v>
      </c>
      <c r="B37" s="3" t="s">
        <v>24</v>
      </c>
      <c r="C37" s="3" t="s">
        <v>151</v>
      </c>
      <c r="D37" s="3" t="s">
        <v>71</v>
      </c>
      <c r="E37" s="7" t="s">
        <v>194</v>
      </c>
      <c r="F37" s="7" t="s">
        <v>194</v>
      </c>
      <c r="G37" s="7" t="s">
        <v>194</v>
      </c>
      <c r="H37" s="7" t="s">
        <v>194</v>
      </c>
      <c r="I37" s="7" t="s">
        <v>194</v>
      </c>
      <c r="J37" s="7" t="s">
        <v>194</v>
      </c>
      <c r="K37" s="7" t="s">
        <v>194</v>
      </c>
      <c r="L37" s="7" t="s">
        <v>194</v>
      </c>
      <c r="M37" s="7" t="s">
        <v>194</v>
      </c>
      <c r="N37" s="7" t="s">
        <v>194</v>
      </c>
    </row>
    <row r="38" spans="1:14" x14ac:dyDescent="0.25">
      <c r="A38" s="3">
        <v>37</v>
      </c>
      <c r="B38" s="3" t="s">
        <v>24</v>
      </c>
      <c r="C38" s="3" t="s">
        <v>152</v>
      </c>
      <c r="D38" s="3" t="s">
        <v>153</v>
      </c>
      <c r="E38" s="7" t="s">
        <v>194</v>
      </c>
      <c r="F38" s="7" t="s">
        <v>194</v>
      </c>
      <c r="G38" s="7" t="s">
        <v>194</v>
      </c>
      <c r="H38" s="7" t="s">
        <v>194</v>
      </c>
      <c r="I38" s="7" t="s">
        <v>194</v>
      </c>
      <c r="J38" s="7" t="s">
        <v>194</v>
      </c>
      <c r="K38" s="7" t="s">
        <v>194</v>
      </c>
      <c r="L38" s="7" t="s">
        <v>194</v>
      </c>
      <c r="M38" s="7" t="s">
        <v>194</v>
      </c>
      <c r="N38" s="7" t="s">
        <v>194</v>
      </c>
    </row>
    <row r="39" spans="1:14" x14ac:dyDescent="0.25">
      <c r="A39" s="3">
        <v>38</v>
      </c>
      <c r="B39" s="3" t="s">
        <v>156</v>
      </c>
      <c r="C39" s="3" t="s">
        <v>157</v>
      </c>
      <c r="D39" s="3" t="s">
        <v>52</v>
      </c>
      <c r="E39" s="7" t="s">
        <v>194</v>
      </c>
      <c r="F39" s="7" t="s">
        <v>194</v>
      </c>
      <c r="G39" s="7" t="s">
        <v>194</v>
      </c>
      <c r="H39" s="7" t="s">
        <v>194</v>
      </c>
      <c r="I39" s="7" t="s">
        <v>194</v>
      </c>
      <c r="J39" s="7" t="s">
        <v>194</v>
      </c>
      <c r="K39" s="7" t="s">
        <v>194</v>
      </c>
      <c r="L39" s="7" t="s">
        <v>194</v>
      </c>
      <c r="M39" s="7" t="s">
        <v>194</v>
      </c>
      <c r="N39" s="7" t="s">
        <v>194</v>
      </c>
    </row>
    <row r="40" spans="1:14" x14ac:dyDescent="0.25">
      <c r="A40" s="3">
        <v>39</v>
      </c>
      <c r="B40" s="3" t="s">
        <v>156</v>
      </c>
      <c r="C40" s="3" t="s">
        <v>158</v>
      </c>
      <c r="D40" s="3" t="s">
        <v>43</v>
      </c>
      <c r="E40" s="7" t="s">
        <v>194</v>
      </c>
      <c r="F40" s="7" t="s">
        <v>194</v>
      </c>
      <c r="G40" s="7" t="s">
        <v>194</v>
      </c>
      <c r="H40" s="7" t="s">
        <v>194</v>
      </c>
      <c r="I40" s="7" t="s">
        <v>194</v>
      </c>
      <c r="J40" s="7" t="s">
        <v>194</v>
      </c>
      <c r="K40" s="7" t="s">
        <v>194</v>
      </c>
      <c r="L40" s="7" t="s">
        <v>194</v>
      </c>
      <c r="M40" s="7" t="s">
        <v>194</v>
      </c>
      <c r="N40" s="7" t="s">
        <v>194</v>
      </c>
    </row>
    <row r="41" spans="1:14" x14ac:dyDescent="0.25">
      <c r="A41" s="3">
        <v>40</v>
      </c>
      <c r="B41" s="3" t="s">
        <v>20</v>
      </c>
      <c r="C41" s="3" t="s">
        <v>159</v>
      </c>
      <c r="D41" s="3" t="s">
        <v>160</v>
      </c>
      <c r="E41" s="7" t="s">
        <v>194</v>
      </c>
      <c r="F41" s="7" t="s">
        <v>194</v>
      </c>
      <c r="G41" s="7" t="s">
        <v>194</v>
      </c>
      <c r="H41" s="7" t="s">
        <v>194</v>
      </c>
      <c r="I41" s="7" t="s">
        <v>194</v>
      </c>
      <c r="J41" s="7" t="s">
        <v>194</v>
      </c>
      <c r="K41" s="7" t="s">
        <v>194</v>
      </c>
      <c r="L41" s="7" t="s">
        <v>194</v>
      </c>
      <c r="M41" s="7" t="s">
        <v>194</v>
      </c>
      <c r="N41" s="7" t="s">
        <v>194</v>
      </c>
    </row>
    <row r="42" spans="1:14" x14ac:dyDescent="0.25">
      <c r="A42" s="3">
        <v>41</v>
      </c>
      <c r="B42" s="3" t="s">
        <v>20</v>
      </c>
      <c r="C42" s="3" t="s">
        <v>161</v>
      </c>
      <c r="D42" s="3" t="s">
        <v>160</v>
      </c>
      <c r="E42" s="7" t="s">
        <v>194</v>
      </c>
      <c r="F42" s="7" t="s">
        <v>194</v>
      </c>
      <c r="G42" s="7" t="s">
        <v>194</v>
      </c>
      <c r="H42" s="7" t="s">
        <v>194</v>
      </c>
      <c r="I42" s="7" t="s">
        <v>194</v>
      </c>
      <c r="J42" s="7" t="s">
        <v>194</v>
      </c>
      <c r="K42" s="7" t="s">
        <v>194</v>
      </c>
      <c r="L42" s="7" t="s">
        <v>194</v>
      </c>
      <c r="M42" s="7" t="s">
        <v>194</v>
      </c>
      <c r="N42" s="7" t="s">
        <v>194</v>
      </c>
    </row>
    <row r="43" spans="1:14" x14ac:dyDescent="0.25">
      <c r="A43" s="3">
        <v>42</v>
      </c>
      <c r="B43" s="3" t="s">
        <v>26</v>
      </c>
      <c r="C43" s="3" t="s">
        <v>162</v>
      </c>
      <c r="D43" s="3" t="s">
        <v>98</v>
      </c>
      <c r="E43" s="7" t="s">
        <v>194</v>
      </c>
      <c r="F43" s="7" t="s">
        <v>194</v>
      </c>
      <c r="G43" s="7" t="s">
        <v>194</v>
      </c>
      <c r="H43" s="7" t="s">
        <v>194</v>
      </c>
      <c r="I43" s="7" t="s">
        <v>194</v>
      </c>
      <c r="J43" s="7" t="s">
        <v>194</v>
      </c>
      <c r="K43" s="7" t="s">
        <v>194</v>
      </c>
      <c r="L43" s="7" t="s">
        <v>194</v>
      </c>
      <c r="M43" s="7" t="s">
        <v>194</v>
      </c>
      <c r="N43" s="7" t="s">
        <v>194</v>
      </c>
    </row>
    <row r="44" spans="1:14" x14ac:dyDescent="0.25">
      <c r="A44" s="3">
        <v>43</v>
      </c>
      <c r="B44" s="3" t="s">
        <v>26</v>
      </c>
      <c r="C44" s="3" t="s">
        <v>163</v>
      </c>
      <c r="D44" s="3" t="s">
        <v>71</v>
      </c>
      <c r="E44" s="7" t="s">
        <v>194</v>
      </c>
      <c r="F44" s="7" t="s">
        <v>194</v>
      </c>
      <c r="G44" s="7" t="s">
        <v>194</v>
      </c>
      <c r="H44" s="7" t="s">
        <v>194</v>
      </c>
      <c r="I44" s="7" t="s">
        <v>194</v>
      </c>
      <c r="J44" s="7" t="s">
        <v>194</v>
      </c>
      <c r="K44" s="7" t="s">
        <v>194</v>
      </c>
      <c r="L44" s="7" t="s">
        <v>194</v>
      </c>
      <c r="M44" s="7" t="s">
        <v>194</v>
      </c>
      <c r="N44" s="7" t="s">
        <v>194</v>
      </c>
    </row>
    <row r="45" spans="1:14" x14ac:dyDescent="0.25">
      <c r="A45" s="3">
        <v>44</v>
      </c>
      <c r="B45" s="3" t="s">
        <v>22</v>
      </c>
      <c r="C45" s="3" t="s">
        <v>165</v>
      </c>
      <c r="D45" s="3" t="s">
        <v>57</v>
      </c>
      <c r="E45" s="7" t="s">
        <v>194</v>
      </c>
      <c r="F45" s="7" t="s">
        <v>194</v>
      </c>
      <c r="G45" s="7" t="s">
        <v>194</v>
      </c>
      <c r="H45" s="7" t="s">
        <v>194</v>
      </c>
      <c r="I45" s="7" t="s">
        <v>194</v>
      </c>
      <c r="J45" s="7" t="s">
        <v>194</v>
      </c>
      <c r="K45" s="7" t="s">
        <v>194</v>
      </c>
      <c r="L45" s="7" t="s">
        <v>194</v>
      </c>
      <c r="M45" s="7" t="s">
        <v>194</v>
      </c>
      <c r="N45" s="7" t="s">
        <v>194</v>
      </c>
    </row>
    <row r="46" spans="1:14" x14ac:dyDescent="0.25">
      <c r="A46" s="3">
        <v>45</v>
      </c>
      <c r="B46" s="3" t="s">
        <v>22</v>
      </c>
      <c r="C46" s="3" t="s">
        <v>166</v>
      </c>
      <c r="D46" s="3" t="s">
        <v>74</v>
      </c>
      <c r="E46" s="7" t="s">
        <v>194</v>
      </c>
      <c r="F46" s="7" t="s">
        <v>194</v>
      </c>
      <c r="G46" s="7" t="s">
        <v>194</v>
      </c>
      <c r="H46" s="7" t="s">
        <v>194</v>
      </c>
      <c r="I46" s="7" t="s">
        <v>194</v>
      </c>
      <c r="J46" s="7" t="s">
        <v>194</v>
      </c>
      <c r="K46" s="7" t="s">
        <v>194</v>
      </c>
      <c r="L46" s="7" t="s">
        <v>194</v>
      </c>
      <c r="M46" s="7" t="s">
        <v>194</v>
      </c>
      <c r="N46" s="7" t="s">
        <v>194</v>
      </c>
    </row>
    <row r="47" spans="1:14" x14ac:dyDescent="0.25">
      <c r="A47" s="3">
        <v>46</v>
      </c>
      <c r="B47" s="3" t="s">
        <v>168</v>
      </c>
      <c r="C47" s="3" t="s">
        <v>169</v>
      </c>
      <c r="D47" s="3" t="s">
        <v>74</v>
      </c>
      <c r="E47" s="7" t="s">
        <v>194</v>
      </c>
      <c r="F47" s="7" t="s">
        <v>194</v>
      </c>
      <c r="G47" s="7" t="s">
        <v>194</v>
      </c>
      <c r="H47" s="7" t="s">
        <v>194</v>
      </c>
      <c r="I47" s="7" t="s">
        <v>194</v>
      </c>
      <c r="J47" s="7" t="s">
        <v>194</v>
      </c>
      <c r="K47" s="7" t="s">
        <v>194</v>
      </c>
      <c r="L47" s="7" t="s">
        <v>194</v>
      </c>
      <c r="M47" s="7" t="s">
        <v>194</v>
      </c>
      <c r="N47" s="7" t="s">
        <v>194</v>
      </c>
    </row>
    <row r="48" spans="1:14" x14ac:dyDescent="0.25">
      <c r="A48" s="3">
        <v>47</v>
      </c>
      <c r="B48" s="3" t="s">
        <v>21</v>
      </c>
      <c r="C48" s="3" t="s">
        <v>171</v>
      </c>
      <c r="D48" s="3" t="s">
        <v>153</v>
      </c>
      <c r="E48" s="7" t="s">
        <v>194</v>
      </c>
      <c r="F48" s="7" t="s">
        <v>194</v>
      </c>
      <c r="G48" s="7" t="s">
        <v>194</v>
      </c>
      <c r="H48" s="7" t="s">
        <v>194</v>
      </c>
      <c r="I48" s="7" t="s">
        <v>194</v>
      </c>
      <c r="J48" s="7" t="s">
        <v>194</v>
      </c>
      <c r="K48" s="7" t="s">
        <v>194</v>
      </c>
      <c r="L48" s="7" t="s">
        <v>194</v>
      </c>
      <c r="M48" s="7" t="s">
        <v>194</v>
      </c>
      <c r="N48" s="7" t="s">
        <v>194</v>
      </c>
    </row>
    <row r="49" spans="1:14" x14ac:dyDescent="0.25">
      <c r="A49" s="3">
        <v>48</v>
      </c>
      <c r="B49" s="3" t="s">
        <v>21</v>
      </c>
      <c r="C49" s="3" t="s">
        <v>174</v>
      </c>
      <c r="D49" s="3" t="s">
        <v>71</v>
      </c>
      <c r="E49" s="7" t="s">
        <v>194</v>
      </c>
      <c r="F49" s="7" t="s">
        <v>194</v>
      </c>
      <c r="G49" s="7" t="s">
        <v>194</v>
      </c>
      <c r="H49" s="7" t="s">
        <v>194</v>
      </c>
      <c r="I49" s="7" t="s">
        <v>194</v>
      </c>
      <c r="J49" s="7" t="s">
        <v>194</v>
      </c>
      <c r="K49" s="7" t="s">
        <v>194</v>
      </c>
      <c r="L49" s="7" t="s">
        <v>194</v>
      </c>
      <c r="M49" s="7" t="s">
        <v>194</v>
      </c>
      <c r="N49" s="7" t="s">
        <v>194</v>
      </c>
    </row>
    <row r="50" spans="1:14" x14ac:dyDescent="0.25">
      <c r="A50" s="3">
        <v>49</v>
      </c>
      <c r="B50" s="3" t="s">
        <v>23</v>
      </c>
      <c r="C50" s="3" t="s">
        <v>175</v>
      </c>
      <c r="D50" s="3" t="s">
        <v>43</v>
      </c>
      <c r="E50" s="7" t="s">
        <v>194</v>
      </c>
      <c r="F50" s="7" t="s">
        <v>194</v>
      </c>
      <c r="G50" s="7" t="s">
        <v>194</v>
      </c>
      <c r="H50" s="7" t="s">
        <v>194</v>
      </c>
      <c r="I50" s="7" t="s">
        <v>194</v>
      </c>
      <c r="J50" s="7" t="s">
        <v>194</v>
      </c>
      <c r="K50" s="7" t="s">
        <v>194</v>
      </c>
      <c r="L50" s="7" t="s">
        <v>194</v>
      </c>
      <c r="M50" s="7" t="s">
        <v>194</v>
      </c>
      <c r="N50" s="7" t="s">
        <v>194</v>
      </c>
    </row>
    <row r="51" spans="1:14" x14ac:dyDescent="0.25">
      <c r="A51" s="3">
        <v>50</v>
      </c>
      <c r="B51" s="3" t="s">
        <v>23</v>
      </c>
      <c r="C51" s="3" t="s">
        <v>176</v>
      </c>
      <c r="D51" s="3" t="s">
        <v>177</v>
      </c>
      <c r="E51" s="7" t="s">
        <v>194</v>
      </c>
      <c r="F51" s="7" t="s">
        <v>194</v>
      </c>
      <c r="G51" s="7" t="s">
        <v>194</v>
      </c>
      <c r="H51" s="7" t="s">
        <v>194</v>
      </c>
      <c r="I51" s="7" t="s">
        <v>194</v>
      </c>
      <c r="J51" s="7" t="s">
        <v>194</v>
      </c>
      <c r="K51" s="7" t="s">
        <v>194</v>
      </c>
      <c r="L51" s="7" t="s">
        <v>194</v>
      </c>
      <c r="M51" s="7" t="s">
        <v>194</v>
      </c>
      <c r="N51" s="7" t="s">
        <v>194</v>
      </c>
    </row>
    <row r="52" spans="1:14" x14ac:dyDescent="0.25">
      <c r="A52" s="3">
        <v>51</v>
      </c>
      <c r="B52" s="3" t="s">
        <v>180</v>
      </c>
      <c r="C52" s="3" t="s">
        <v>181</v>
      </c>
      <c r="D52" s="3" t="s">
        <v>43</v>
      </c>
      <c r="E52" s="7" t="s">
        <v>194</v>
      </c>
      <c r="F52" s="7" t="s">
        <v>194</v>
      </c>
      <c r="G52" s="7" t="s">
        <v>194</v>
      </c>
      <c r="H52" s="7" t="s">
        <v>194</v>
      </c>
      <c r="I52" s="7" t="s">
        <v>194</v>
      </c>
      <c r="J52" s="7" t="s">
        <v>194</v>
      </c>
      <c r="K52" s="7" t="s">
        <v>194</v>
      </c>
      <c r="L52" s="7" t="s">
        <v>194</v>
      </c>
      <c r="M52" s="7" t="s">
        <v>194</v>
      </c>
      <c r="N52" s="7" t="s">
        <v>194</v>
      </c>
    </row>
  </sheetData>
  <autoFilter ref="A1:N52"/>
  <dataValidations count="1">
    <dataValidation type="list" sqref="E2:N52">
      <formula1>"—,Не начато,В работе,Есть риск,Просрочено,Выполнено"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65" customWidth="1"/>
    <col min="3" max="3" width="35" customWidth="1"/>
  </cols>
  <sheetData>
    <row r="1" spans="1:3" x14ac:dyDescent="0.25">
      <c r="A1" s="1" t="s">
        <v>197</v>
      </c>
      <c r="B1" s="1" t="s">
        <v>198</v>
      </c>
      <c r="C1" s="1" t="s">
        <v>199</v>
      </c>
    </row>
    <row r="2" spans="1:3" ht="30" x14ac:dyDescent="0.25">
      <c r="A2" s="5" t="s">
        <v>200</v>
      </c>
      <c r="B2" s="5" t="s">
        <v>201</v>
      </c>
      <c r="C2" s="5" t="s">
        <v>202</v>
      </c>
    </row>
    <row r="3" spans="1:3" x14ac:dyDescent="0.25">
      <c r="A3" s="5" t="s">
        <v>203</v>
      </c>
      <c r="B3" s="5" t="s">
        <v>204</v>
      </c>
      <c r="C3" s="5" t="s">
        <v>205</v>
      </c>
    </row>
    <row r="4" spans="1:3" x14ac:dyDescent="0.25">
      <c r="A4" s="5" t="s">
        <v>206</v>
      </c>
      <c r="B4" s="5" t="s">
        <v>207</v>
      </c>
      <c r="C4" s="5" t="s">
        <v>208</v>
      </c>
    </row>
    <row r="5" spans="1:3" x14ac:dyDescent="0.25">
      <c r="A5" s="5" t="s">
        <v>209</v>
      </c>
      <c r="B5" s="5" t="s">
        <v>210</v>
      </c>
      <c r="C5" s="5" t="s">
        <v>211</v>
      </c>
    </row>
    <row r="6" spans="1:3" x14ac:dyDescent="0.25">
      <c r="A6" s="5" t="s">
        <v>212</v>
      </c>
      <c r="B6" s="5" t="s">
        <v>213</v>
      </c>
      <c r="C6" s="5" t="s">
        <v>62</v>
      </c>
    </row>
    <row r="7" spans="1:3" x14ac:dyDescent="0.25">
      <c r="A7" s="5" t="s">
        <v>214</v>
      </c>
      <c r="B7" s="5" t="s">
        <v>215</v>
      </c>
      <c r="C7" s="5" t="s">
        <v>62</v>
      </c>
    </row>
    <row r="8" spans="1:3" x14ac:dyDescent="0.25">
      <c r="A8" s="5" t="s">
        <v>216</v>
      </c>
      <c r="B8" s="5" t="s">
        <v>217</v>
      </c>
      <c r="C8" s="5" t="s">
        <v>62</v>
      </c>
    </row>
    <row r="9" spans="1:3" x14ac:dyDescent="0.25">
      <c r="A9" s="5" t="s">
        <v>218</v>
      </c>
      <c r="B9" s="5" t="s">
        <v>219</v>
      </c>
      <c r="C9" s="5" t="s">
        <v>62</v>
      </c>
    </row>
    <row r="10" spans="1:3" x14ac:dyDescent="0.25">
      <c r="A10" s="5" t="s">
        <v>220</v>
      </c>
      <c r="B10" s="5" t="s">
        <v>221</v>
      </c>
      <c r="C10" s="5" t="s">
        <v>62</v>
      </c>
    </row>
    <row r="11" spans="1:3" x14ac:dyDescent="0.25">
      <c r="A11" s="5" t="s">
        <v>222</v>
      </c>
      <c r="B11" s="5" t="s">
        <v>223</v>
      </c>
      <c r="C11" s="5" t="s">
        <v>224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8" customWidth="1"/>
    <col min="2" max="2" width="18" customWidth="1"/>
  </cols>
  <sheetData>
    <row r="1" spans="1:2" x14ac:dyDescent="0.25">
      <c r="A1" s="2" t="s">
        <v>29</v>
      </c>
      <c r="B1" s="2" t="s">
        <v>225</v>
      </c>
    </row>
    <row r="2" spans="1:2" x14ac:dyDescent="0.25">
      <c r="A2" s="3" t="s">
        <v>52</v>
      </c>
      <c r="B2" s="3">
        <v>9</v>
      </c>
    </row>
    <row r="3" spans="1:2" x14ac:dyDescent="0.25">
      <c r="A3" s="3" t="s">
        <v>71</v>
      </c>
      <c r="B3" s="3">
        <v>6</v>
      </c>
    </row>
    <row r="4" spans="1:2" x14ac:dyDescent="0.25">
      <c r="A4" s="3" t="s">
        <v>43</v>
      </c>
      <c r="B4" s="3">
        <v>5</v>
      </c>
    </row>
    <row r="5" spans="1:2" x14ac:dyDescent="0.25">
      <c r="A5" s="3" t="s">
        <v>87</v>
      </c>
      <c r="B5" s="3">
        <v>4</v>
      </c>
    </row>
    <row r="6" spans="1:2" x14ac:dyDescent="0.25">
      <c r="A6" s="3" t="s">
        <v>57</v>
      </c>
      <c r="B6" s="3">
        <v>3</v>
      </c>
    </row>
    <row r="7" spans="1:2" x14ac:dyDescent="0.25">
      <c r="A7" s="3" t="s">
        <v>74</v>
      </c>
      <c r="B7" s="3">
        <v>3</v>
      </c>
    </row>
    <row r="8" spans="1:2" x14ac:dyDescent="0.25">
      <c r="A8" s="3" t="s">
        <v>98</v>
      </c>
      <c r="B8" s="3">
        <v>3</v>
      </c>
    </row>
    <row r="9" spans="1:2" x14ac:dyDescent="0.25">
      <c r="A9" s="3" t="s">
        <v>95</v>
      </c>
      <c r="B9" s="3">
        <v>3</v>
      </c>
    </row>
    <row r="10" spans="1:2" x14ac:dyDescent="0.25">
      <c r="A10" s="3" t="s">
        <v>143</v>
      </c>
      <c r="B10" s="3">
        <v>2</v>
      </c>
    </row>
    <row r="11" spans="1:2" x14ac:dyDescent="0.25">
      <c r="A11" s="3" t="s">
        <v>153</v>
      </c>
      <c r="B11" s="3">
        <v>2</v>
      </c>
    </row>
    <row r="12" spans="1:2" x14ac:dyDescent="0.25">
      <c r="A12" s="3" t="s">
        <v>160</v>
      </c>
      <c r="B12" s="3">
        <v>2</v>
      </c>
    </row>
    <row r="13" spans="1:2" x14ac:dyDescent="0.25">
      <c r="A13" s="3" t="s">
        <v>115</v>
      </c>
      <c r="B13" s="3">
        <v>2</v>
      </c>
    </row>
    <row r="14" spans="1:2" x14ac:dyDescent="0.25">
      <c r="A14" s="3" t="s">
        <v>80</v>
      </c>
      <c r="B14" s="3">
        <v>1</v>
      </c>
    </row>
    <row r="15" spans="1:2" x14ac:dyDescent="0.25">
      <c r="A15" s="3" t="s">
        <v>138</v>
      </c>
      <c r="B15" s="3">
        <v>1</v>
      </c>
    </row>
    <row r="16" spans="1:2" x14ac:dyDescent="0.25">
      <c r="A16" s="3" t="s">
        <v>122</v>
      </c>
      <c r="B16" s="3">
        <v>1</v>
      </c>
    </row>
    <row r="17" spans="1:2" x14ac:dyDescent="0.25">
      <c r="A17" s="3" t="s">
        <v>130</v>
      </c>
      <c r="B17" s="3">
        <v>1</v>
      </c>
    </row>
    <row r="18" spans="1:2" x14ac:dyDescent="0.25">
      <c r="A18" s="3" t="s">
        <v>106</v>
      </c>
      <c r="B18" s="3">
        <v>1</v>
      </c>
    </row>
    <row r="19" spans="1:2" x14ac:dyDescent="0.25">
      <c r="A19" s="3" t="s">
        <v>150</v>
      </c>
      <c r="B19" s="3">
        <v>1</v>
      </c>
    </row>
    <row r="20" spans="1:2" x14ac:dyDescent="0.25">
      <c r="A20" s="3" t="s">
        <v>177</v>
      </c>
      <c r="B20" s="3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selection sqref="A1:C1"/>
    </sheetView>
  </sheetViews>
  <sheetFormatPr defaultRowHeight="15" x14ac:dyDescent="0.25"/>
  <cols>
    <col min="1" max="1" width="22" customWidth="1"/>
    <col min="2" max="2" width="55" customWidth="1"/>
    <col min="3" max="3" width="25" customWidth="1"/>
  </cols>
  <sheetData>
    <row r="1" spans="1:3" ht="18.75" x14ac:dyDescent="0.3">
      <c r="A1" s="22" t="s">
        <v>226</v>
      </c>
      <c r="B1" s="13"/>
      <c r="C1" s="13"/>
    </row>
    <row r="3" spans="1:3" x14ac:dyDescent="0.25">
      <c r="A3" s="8" t="s">
        <v>227</v>
      </c>
      <c r="B3" s="21" t="s">
        <v>228</v>
      </c>
      <c r="C3" s="10"/>
    </row>
    <row r="4" spans="1:3" x14ac:dyDescent="0.25">
      <c r="A4" s="8" t="s">
        <v>229</v>
      </c>
      <c r="B4" s="21" t="s">
        <v>230</v>
      </c>
      <c r="C4" s="10"/>
    </row>
    <row r="5" spans="1:3" x14ac:dyDescent="0.25">
      <c r="A5" s="8" t="s">
        <v>231</v>
      </c>
      <c r="B5" s="21" t="s">
        <v>232</v>
      </c>
      <c r="C5" s="10"/>
    </row>
    <row r="6" spans="1:3" x14ac:dyDescent="0.25">
      <c r="A6" s="8" t="s">
        <v>233</v>
      </c>
      <c r="B6" s="21" t="s">
        <v>234</v>
      </c>
      <c r="C6" s="10"/>
    </row>
    <row r="7" spans="1:3" x14ac:dyDescent="0.25">
      <c r="A7" s="8" t="s">
        <v>235</v>
      </c>
      <c r="B7" s="21" t="s">
        <v>236</v>
      </c>
      <c r="C7" s="10"/>
    </row>
    <row r="8" spans="1:3" x14ac:dyDescent="0.25">
      <c r="A8" s="8" t="s">
        <v>237</v>
      </c>
      <c r="B8" s="21" t="s">
        <v>238</v>
      </c>
      <c r="C8" s="10"/>
    </row>
  </sheetData>
  <mergeCells count="7">
    <mergeCell ref="B8:C8"/>
    <mergeCell ref="B4:C4"/>
    <mergeCell ref="B6:C6"/>
    <mergeCell ref="B7:C7"/>
    <mergeCell ref="A1:C1"/>
    <mergeCell ref="B3:C3"/>
    <mergeCell ref="B5:C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Дашборд</vt:lpstr>
      <vt:lpstr>План</vt:lpstr>
      <vt:lpstr>Мониторинг_месяц</vt:lpstr>
      <vt:lpstr>Календарь_контроля</vt:lpstr>
      <vt:lpstr>Свод_по_ответственным</vt:lpstr>
      <vt:lpstr>Инструкция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 Windows</cp:lastModifiedBy>
  <dcterms:created xsi:type="dcterms:W3CDTF">2026-09-02T04:15:28Z</dcterms:created>
  <dcterms:modified xsi:type="dcterms:W3CDTF">2026-09-02T13:02:44Z</dcterms:modified>
</cp:coreProperties>
</file>